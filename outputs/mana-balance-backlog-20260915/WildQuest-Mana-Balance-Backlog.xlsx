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2f2dd6983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2ddf1e7acb4f96"/>
    <x:sheet xmlns:r="http://schemas.openxmlformats.org/officeDocument/2006/relationships" name="Creature Balance" sheetId="2" r:id="R0fade88fd6ab41a6"/>
    <x:sheet xmlns:r="http://schemas.openxmlformats.org/officeDocument/2006/relationships" name="Combat Rules" sheetId="3" r:id="Rf26f407fb59d400a"/>
    <x:sheet xmlns:r="http://schemas.openxmlformats.org/officeDocument/2006/relationships" name="Backlog" sheetId="4" r:id="Rd4cfd424a2044c82"/>
    <x:sheet xmlns:r="http://schemas.openxmlformats.org/officeDocument/2006/relationships" name="Validation" sheetId="5" r:id="Rbe4720881bc44314"/>
    <x:sheet xmlns:r="http://schemas.openxmlformats.org/officeDocument/2006/relationships" name="Source Snapshot" sheetId="6" r:id="Re1e081be44494f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8">
    <x:font>
      <x:sz val="11"/>
      <x:name val="Carlito"/>
    </x:font>
    <x:font>
      <x:b/>
      <x:sz val="16"/>
      <x:color rgb="FF102A43"/>
      <x:name val="Carlito"/>
    </x:font>
    <x:font>
      <x:b/>
      <x:sz val="11"/>
      <x:color rgb="FFFFFFFF"/>
      <x:name val="Carlito"/>
    </x:font>
    <x:font>
      <x:sz val="11"/>
      <x:color rgb="FF17212B"/>
      <x:name val="Carlito"/>
    </x:font>
    <x:font>
      <x:b/>
      <x:sz val="11"/>
      <x:color rgb="FF17212B"/>
      <x:name val="Carlito"/>
    </x:font>
    <x:font>
      <x:b/>
      <x:sz val="11"/>
      <x:color rgb="FF1F5F8B"/>
      <x:name val="Carlito"/>
    </x:font>
    <x:font>
      <x:sz val="10"/>
      <x:color rgb="FF17212B"/>
      <x:name val="Carlito"/>
    </x:font>
    <x:font>
      <x:sz val="10"/>
      <x:color rgb="FF58657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FF9EE"/>
      </x:patternFill>
    </x:fill>
    <x:fill>
      <x:patternFill patternType="solid">
        <x:fgColor rgb="FFE8EDF2"/>
      </x:patternFill>
    </x:fill>
    <x:fill>
      <x:patternFill patternType="solid">
        <x:fgColor rgb="FFFFFFFF"/>
      </x:patternFill>
    </x:fill>
    <x:fill>
      <x:patternFill patternType="solid">
        <x:fgColor rgb="FFD9EEF7"/>
      </x:patternFill>
    </x:fill>
  </x:fills>
  <x:borders count="5">
    <x:border/>
    <x:border>
      <x:bottom style="medium">
        <x:color rgb="FFD6A84B"/>
      </x:bottom>
    </x:border>
    <x:border>
      <x:right style="thin">
        <x:color rgb="FFFFFFFF"/>
      </x:right>
      <x:bottom style="medium">
        <x:color rgb="FFD6A84B"/>
      </x:bottom>
    </x:border>
    <x:border>
      <x:left style="thin">
        <x:color rgb="FFFFFFFF"/>
      </x:left>
      <x:bottom style="medium">
        <x:color rgb="FFD6A84B"/>
      </x:bottom>
    </x:border>
    <x:border>
      <x:left style="thin">
        <x:color rgb="FFFFFFFF"/>
      </x:left>
      <x:right style="thin">
        <x:color rgb="FFFFFFFF"/>
      </x:right>
      <x:bottom style="medium">
        <x:color rgb="FFD6A84B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0" fontId="6" fillId="6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1C1C"/>
      </x:font>
      <x:fill>
        <x:patternFill patternType="solid">
          <x:bgColor rgb="FFFCE3E3"/>
        </x:patternFill>
      </x:fill>
    </x:dxf>
    <x:dxf>
      <x:font>
        <x:b/>
        <x:color rgb="FF9C1C1C"/>
      </x:font>
      <x:fill>
        <x:patternFill patternType="solid">
          <x:bgColor rgb="FFFCE3E3"/>
        </x:patternFill>
      </x:fill>
    </x:dxf>
    <x:dxf>
      <x:font>
        <x:b/>
        <x:color rgb="FF7A5200"/>
      </x:font>
      <x:fill>
        <x:patternFill patternType="solid">
          <x:bgColor rgb="FFFFF0C9"/>
        </x:patternFill>
      </x:fill>
    </x:dxf>
    <x:dxf>
      <x:font>
        <x:b/>
        <x:color rgb="FF9C1C1C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31be3301849da" /><Relationship Type="http://schemas.openxmlformats.org/officeDocument/2006/relationships/theme" Target="/xl/theme/theme1.xml" Id="R5202b5135ffa48a0" /><Relationship Type="http://schemas.openxmlformats.org/officeDocument/2006/relationships/sharedStrings" Target="/xl/sharedStrings.xml" Id="R8f51c5f7bfbb45da" /><Relationship Type="http://schemas.openxmlformats.org/officeDocument/2006/relationships/worksheet" Target="/xl/worksheets/sheet1.xml" Id="R732ddf1e7acb4f96" /><Relationship Type="http://schemas.openxmlformats.org/officeDocument/2006/relationships/worksheet" Target="/xl/worksheets/sheet2.xml" Id="R0fade88fd6ab41a6" /><Relationship Type="http://schemas.openxmlformats.org/officeDocument/2006/relationships/worksheet" Target="/xl/worksheets/sheet3.xml" Id="Rf26f407fb59d400a" /><Relationship Type="http://schemas.openxmlformats.org/officeDocument/2006/relationships/worksheet" Target="/xl/worksheets/sheet4.xml" Id="Rd4cfd424a2044c82" /><Relationship Type="http://schemas.openxmlformats.org/officeDocument/2006/relationships/worksheet" Target="/xl/worksheets/sheet5.xml" Id="Rbe4720881bc44314" /><Relationship Type="http://schemas.openxmlformats.org/officeDocument/2006/relationships/worksheet" Target="/xl/worksheets/sheet6.xml" Id="Re1e081be44494f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326fc5e3614e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proposed stats by role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Avg HP</c:v>
          </c:tx>
          <c:cat>
            <c:strRef>
              <c:f>'Summary'!$G$6:$G$13</c:f>
              <c:strCache>
                <c:ptCount val="0"/>
              </c:strCache>
            </c:strRef>
          </c:cat>
          <c:val>
            <c:numRef>
              <c:f>'Summary'!$H$6:$H$13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ATK</c:v>
          </c:tx>
          <c:cat>
            <c:strRef>
              <c:f>'Summary'!$G$6:$G$13</c:f>
              <c:strCache>
                <c:ptCount val="0"/>
              </c:strCache>
            </c:strRef>
          </c:cat>
          <c:val>
            <c:numRef>
              <c:f>'Summary'!$I$6:$I$13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 DEF</c:v>
          </c:tx>
          <c:cat>
            <c:strRef>
              <c:f>'Summary'!$G$6:$G$13</c:f>
              <c:strCache>
                <c:ptCount val="0"/>
              </c:strCache>
            </c:strRef>
          </c:cat>
          <c:val>
            <c:numRef>
              <c:f>'Summary'!$J$6:$J$13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326fc5e3614e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eatureBalanceTable" displayName="CreatureBalanceTable" ref="A4:V45" headerRowCount="1" totalsRowCount="0" totalsRowShown="0">
  <x:tableColumns count="22">
    <x:tableColumn id="1" name="Catalogue ID"/>
    <x:tableColumn id="2" name="Species ID"/>
    <x:tableColumn id="3" name="Creature"/>
    <x:tableColumn id="4" name="Rarity"/>
    <x:tableColumn id="5" name="Role"/>
    <x:tableColumn id="6" name="Current HP"/>
    <x:tableColumn id="7" name="Current Speed"/>
    <x:tableColumn id="8" name="Proposed HP"/>
    <x:tableColumn id="9" name="ATK"/>
    <x:tableColumn id="10" name="DEF"/>
    <x:tableColumn id="11" name="Max Mana"/>
    <x:tableColumn id="12" name="Strike Cost"/>
    <x:tableColumn id="13" name="Guard Cost"/>
    <x:tableColumn id="14" name="Recharge"/>
    <x:tableColumn id="15" name="Ability"/>
    <x:tableColumn id="16" name="Ability Cost"/>
    <x:tableColumn id="17" name="Ability Effect"/>
    <x:tableColumn id="18" name="Play Pattern"/>
    <x:tableColumn id="19" name="Effective HP"/>
    <x:tableColumn id="20" name="Basic Damage vs 50 DEF"/>
    <x:tableColumn id="21" name="Full-Mana Strikes"/>
    <x:tableColumn id="22" name="Review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aBacklogTable" displayName="ManaBacklogTable" ref="A4:I29" headerRowCount="1" totalsRowCount="0" totalsRowShown="0">
  <x:tableColumns count="9">
    <x:tableColumn id="1" name="ID"/>
    <x:tableColumn id="2" name="Priority"/>
    <x:tableColumn id="3" name="Area"/>
    <x:tableColumn id="4" name="Task"/>
    <x:tableColumn id="5" name="Scope"/>
    <x:tableColumn id="6" name="Acceptance Criteria"/>
    <x:tableColumn id="7" name="Depends On"/>
    <x:tableColumn id="8" name="Status"/>
    <x:tableColumn id="9" name="Siz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idationTable" displayName="ValidationTable" ref="A4:D23" headerRowCount="1" totalsRowCount="0" totalsRowShown="0">
  <x:tableColumns count="4">
    <x:tableColumn id="1" name="ID"/>
    <x:tableColumn id="2" name="Gate"/>
    <x:tableColumn id="3" name="Pass condition"/>
    <x:tableColumn id="4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dca4ed8f1a441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41f3c3c6a446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0da25aa215b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fcba0e65ec846b5" /></Relationships>
</file>

<file path=xl/worksheets/sheet1.xml><?xml version="1.0" encoding="utf-8"?>
<x:worksheet xmlns:x="http://schemas.openxmlformats.org/spreadsheetml/2006/main">
  <x:sheetPr>
    <x:tabColor rgb="FF102A43"/>
  </x:sheetPr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42" hidden="0" customWidth="1"/>
    <x:col min="4" max="4" width="24" hidden="0" customWidth="1"/>
    <x:col min="5" max="5" width="18" hidden="0" customWidth="1"/>
    <x:col min="6" max="6" width="3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  <x:col min="11" max="11" width="3" hidden="0" customWidth="1"/>
    <x:col min="12" max="12" width="3" hidden="0" customWidth="1"/>
  </x:cols>
  <x:sheetData>
    <x:row r="2" ht="26" customHeight="1">
      <x:c r="A2" s="2" t="str">
        <x:v>WildQuest Mana Combat - Candidate Balance v2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5" ht="34" customHeight="1">
      <x:c r="A5" s="5" t="str">
        <x:v>Decision</x:v>
      </x:c>
      <x:c r="B5" s="8" t="str">
        <x:v>Candidate roster and implementation backlog</x:v>
      </x:c>
      <x:c r="D5" s="15" t="str">
        <x:v>Balance KPI</x:v>
      </x:c>
      <x:c r="E5" s="16" t="str">
        <x:v>Value</x:v>
      </x:c>
      <x:c r="G5" s="15" t="str">
        <x:v>Role</x:v>
      </x:c>
      <x:c r="H5" s="25" t="str">
        <x:v>Avg HP</x:v>
      </x:c>
      <x:c r="I5" s="25" t="str">
        <x:v>Avg ATK</x:v>
      </x:c>
      <x:c r="J5" s="16" t="str">
        <x:v>Avg DEF</x:v>
      </x:c>
    </x:row>
    <x:row r="6">
      <x:c r="A6" s="5" t="str">
        <x:v>Roster</x:v>
      </x:c>
      <x:c r="B6" s="8" t="n">
        <x:v>40</x:v>
      </x:c>
      <x:c r="D6" s="18" t="str">
        <x:v>Avg HP</x:v>
      </x:c>
      <x:c r="E6" s="21" t="n">
        <x:f>AVERAGE('Creature Balance'!H6:H45)</x:f>
        <x:v>88.05</x:v>
      </x:c>
      <x:c r="G6" t="str">
        <x:v>Balanced</x:v>
      </x:c>
      <x:c r="H6" t="n">
        <x:f>AVERAGEIF('Creature Balance'!$E$6:$E$45,G6,'Creature Balance'!$H$6:$H$45)</x:f>
        <x:v>87.2</x:v>
      </x:c>
      <x:c r="I6" t="n">
        <x:f>AVERAGEIF('Creature Balance'!$E$6:$E$45,G6,'Creature Balance'!$I$6:$I$45)</x:f>
        <x:v>59.2</x:v>
      </x:c>
      <x:c r="J6" t="n">
        <x:f>AVERAGEIF('Creature Balance'!$E$6:$E$45,G6,'Creature Balance'!$J$6:$J$45)</x:f>
        <x:v>42</x:v>
      </x:c>
    </x:row>
    <x:row r="7">
      <x:c r="A7" s="5" t="str">
        <x:v>Core stats</x:v>
      </x:c>
      <x:c r="B7" s="8" t="str">
        <x:v>HP / ATK / DEF / Max Mana</x:v>
      </x:c>
      <x:c r="D7" s="18" t="str">
        <x:v>Avg ATK</x:v>
      </x:c>
      <x:c r="E7" s="21" t="n">
        <x:f>AVERAGE('Creature Balance'!I6:I45)</x:f>
        <x:v>60.85</x:v>
      </x:c>
      <x:c r="G7" t="str">
        <x:v>Brawler</x:v>
      </x:c>
      <x:c r="H7" t="n">
        <x:f>AVERAGEIF('Creature Balance'!$E$6:$E$45,G7,'Creature Balance'!$H$6:$H$45)</x:f>
        <x:v>101.25</x:v>
      </x:c>
      <x:c r="I7" t="n">
        <x:f>AVERAGEIF('Creature Balance'!$E$6:$E$45,G7,'Creature Balance'!$I$6:$I$45)</x:f>
        <x:v>63.5</x:v>
      </x:c>
      <x:c r="J7" t="n">
        <x:f>AVERAGEIF('Creature Balance'!$E$6:$E$45,G7,'Creature Balance'!$J$6:$J$45)</x:f>
        <x:v>45</x:v>
      </x:c>
    </x:row>
    <x:row r="8">
      <x:c r="A8" s="5" t="str">
        <x:v>Actions</x:v>
      </x:c>
      <x:c r="B8" s="8" t="str">
        <x:v>Strike / Guard / Ability / Recharge</x:v>
      </x:c>
      <x:c r="D8" s="18" t="str">
        <x:v>Avg DEF</x:v>
      </x:c>
      <x:c r="E8" s="21" t="n">
        <x:f>AVERAGE('Creature Balance'!J6:J45)</x:f>
        <x:v>41.05</x:v>
      </x:c>
      <x:c r="G8" t="str">
        <x:v>Controller</x:v>
      </x:c>
      <x:c r="H8" t="n">
        <x:f>AVERAGEIF('Creature Balance'!$E$6:$E$45,G8,'Creature Balance'!$H$6:$H$45)</x:f>
        <x:v>85</x:v>
      </x:c>
      <x:c r="I8" t="n">
        <x:f>AVERAGEIF('Creature Balance'!$E$6:$E$45,G8,'Creature Balance'!$I$6:$I$45)</x:f>
        <x:v>59.75</x:v>
      </x:c>
      <x:c r="J8" t="n">
        <x:f>AVERAGEIF('Creature Balance'!$E$6:$E$45,G8,'Creature Balance'!$J$6:$J$45)</x:f>
        <x:v>39</x:v>
      </x:c>
    </x:row>
    <x:row r="9">
      <x:c r="A9" s="5" t="str">
        <x:v>Repository status</x:v>
      </x:c>
      <x:c r="B9" s="38" t="str">
        <x:v>Balance v2 implemented locally; generated client and migration are synchronized</x:v>
      </x:c>
      <x:c r="D9" s="18" t="str">
        <x:v>Avg Max Mana</x:v>
      </x:c>
      <x:c r="E9" s="21" t="n">
        <x:f>AVERAGE('Creature Balance'!K6:K45)</x:f>
        <x:v>6.6</x:v>
      </x:c>
      <x:c r="G9" t="str">
        <x:v>Energizer</x:v>
      </x:c>
      <x:c r="H9" t="n">
        <x:f>AVERAGEIF('Creature Balance'!$E$6:$E$45,G9,'Creature Balance'!$H$6:$H$45)</x:f>
        <x:v>76</x:v>
      </x:c>
      <x:c r="I9" t="n">
        <x:f>AVERAGEIF('Creature Balance'!$E$6:$E$45,G9,'Creature Balance'!$I$6:$I$45)</x:f>
        <x:v>60</x:v>
      </x:c>
      <x:c r="J9" t="n">
        <x:f>AVERAGEIF('Creature Balance'!$E$6:$E$45,G9,'Creature Balance'!$J$6:$J$45)</x:f>
        <x:v>29</x:v>
      </x:c>
    </x:row>
    <x:row r="10">
      <x:c r="A10" s="5" t="str">
        <x:v>Release gate</x:v>
      </x:c>
      <x:c r="B10" s="38" t="str">
        <x:v>Deploy, initialize v2 accounts, activate the version, and verify the Devnet loop</x:v>
      </x:c>
      <x:c r="D10" s="18" t="str">
        <x:v>Avg Recharge</x:v>
      </x:c>
      <x:c r="E10" s="21" t="n">
        <x:f>AVERAGE('Creature Balance'!N6:N45)</x:f>
        <x:v>3.35</x:v>
      </x:c>
      <x:c r="G10" t="str">
        <x:v>Guardian</x:v>
      </x:c>
      <x:c r="H10" t="n">
        <x:f>AVERAGEIF('Creature Balance'!$E$6:$E$45,G10,'Creature Balance'!$H$6:$H$45)</x:f>
        <x:v>108.5</x:v>
      </x:c>
      <x:c r="I10" t="n">
        <x:f>AVERAGEIF('Creature Balance'!$E$6:$E$45,G10,'Creature Balance'!$I$6:$I$45)</x:f>
        <x:v>51.333333333333336</x:v>
      </x:c>
      <x:c r="J10" t="n">
        <x:f>AVERAGEIF('Creature Balance'!$E$6:$E$45,G10,'Creature Balance'!$J$6:$J$45)</x:f>
        <x:v>62.666666666666664</x:v>
      </x:c>
    </x:row>
    <x:row r="11">
      <x:c r="G11" t="str">
        <x:v>Skirmisher</x:v>
      </x:c>
      <x:c r="H11" t="n">
        <x:f>AVERAGEIF('Creature Balance'!$E$6:$E$45,G11,'Creature Balance'!$H$6:$H$45)</x:f>
        <x:v>78</x:v>
      </x:c>
      <x:c r="I11" t="n">
        <x:f>AVERAGEIF('Creature Balance'!$E$6:$E$45,G11,'Creature Balance'!$I$6:$I$45)</x:f>
        <x:v>61.142857142857146</x:v>
      </x:c>
      <x:c r="J11" t="n">
        <x:f>AVERAGEIF('Creature Balance'!$E$6:$E$45,G11,'Creature Balance'!$J$6:$J$45)</x:f>
        <x:v>33.142857142857146</x:v>
      </x:c>
    </x:row>
    <x:row r="12">
      <x:c r="G12" t="str">
        <x:v>Striker</x:v>
      </x:c>
      <x:c r="H12" t="n">
        <x:f>AVERAGEIF('Creature Balance'!$E$6:$E$45,G12,'Creature Balance'!$H$6:$H$45)</x:f>
        <x:v>77.14285714285714</x:v>
      </x:c>
      <x:c r="I12" t="n">
        <x:f>AVERAGEIF('Creature Balance'!$E$6:$E$45,G12,'Creature Balance'!$I$6:$I$45)</x:f>
        <x:v>72.71428571428571</x:v>
      </x:c>
      <x:c r="J12" t="n">
        <x:f>AVERAGEIF('Creature Balance'!$E$6:$E$45,G12,'Creature Balance'!$J$6:$J$45)</x:f>
        <x:v>30.571428571428573</x:v>
      </x:c>
    </x:row>
    <x:row r="13" ht="34" customHeight="1">
      <x:c r="A13" s="15" t="str">
        <x:v>Recommended decision</x:v>
      </x:c>
      <x:c r="B13" s="25" t="str">
        <x:v>Why it works</x:v>
      </x:c>
      <x:c r="C13" s="25" t="str">
        <x:v>Hard constraint</x:v>
      </x:c>
      <x:c r="D13" s="25" t="str">
        <x:v>Owner</x:v>
      </x:c>
      <x:c r="E13" s="16" t="str">
        <x:v>Status</x:v>
      </x:c>
      <x:c r="G13" t="str">
        <x:v>Support</x:v>
      </x:c>
      <x:c r="H13" t="n">
        <x:f>AVERAGEIF('Creature Balance'!$E$6:$E$45,G13,'Creature Balance'!$H$6:$H$45)</x:f>
        <x:v>90.4</x:v>
      </x:c>
      <x:c r="I13" t="n">
        <x:f>AVERAGEIF('Creature Balance'!$E$6:$E$45,G13,'Creature Balance'!$I$6:$I$45)</x:f>
        <x:v>56</x:v>
      </x:c>
      <x:c r="J13" t="n">
        <x:f>AVERAGEIF('Creature Balance'!$E$6:$E$45,G13,'Creature Balance'!$J$6:$J$45)</x:f>
        <x:v>43.2</x:v>
      </x:c>
    </x:row>
    <x:row r="14">
      <x:c r="A14" s="28" t="str">
        <x:v>Replace Speed + base Shield with mana fields</x:v>
      </x:c>
      <x:c r="B14" s="28" t="str">
        <x:v>Simultaneous turns remove initiative; temporary Guard is easier to read.</x:v>
      </x:c>
      <x:c r="C14" s="28" t="str">
        <x:v>New balance version; no mutation of v1 accounts.</x:v>
      </x:c>
      <x:c r="D14" s="28" t="str">
        <x:v>Game design + program</x:v>
      </x:c>
      <x:c r="E14" s="28" t="str">
        <x:v>Proposed</x:v>
      </x:c>
    </x:row>
    <x:row r="15">
      <x:c r="A15" s="28" t="str">
        <x:v>Start at personal Max Mana</x:v>
      </x:c>
      <x:c r="B15" s="28" t="str">
        <x:v>Every creature can act on turn 1 and Max Mana affects opening options.</x:v>
      </x:c>
      <x:c r="C15" s="28" t="str">
        <x:v>Mana always remains within 0..Max.</x:v>
      </x:c>
      <x:c r="D15" s="28" t="str">
        <x:v>Engine</x:v>
      </x:c>
      <x:c r="E15" s="28" t="str">
        <x:v>Proposed</x:v>
      </x:c>
    </x:row>
    <x:row r="16">
      <x:c r="A16" s="28" t="str">
        <x:v>Use diminishing DEF damage formula</x:v>
      </x:c>
      <x:c r="B16" s="28" t="str">
        <x:v>Keeps DEF valuable without allowing immunity.</x:v>
      </x:c>
      <x:c r="C16" s="28" t="str">
        <x:v>Raw damage &gt;= 1; integer-only settlement.</x:v>
      </x:c>
      <x:c r="D16" s="28" t="str">
        <x:v>Engine</x:v>
      </x:c>
      <x:c r="E16" s="28" t="str">
        <x:v>Proposed</x:v>
      </x:c>
    </x:row>
    <x:row r="17">
      <x:c r="A17" s="28" t="str">
        <x:v>Give each creature one deterministic ability</x:v>
      </x:c>
      <x:c r="B17" s="28" t="str">
        <x:v>Creature identity comes from timing and mana, not speed.</x:v>
      </x:c>
      <x:c r="C17" s="28" t="str">
        <x:v>No settlement-critical randomness.</x:v>
      </x:c>
      <x:c r="D17" s="28" t="str">
        <x:v>Design + engine</x:v>
      </x:c>
      <x:c r="E17" s="28" t="str">
        <x:v>Proposed</x:v>
      </x:c>
    </x:row>
    <x:row r="18">
      <x:c r="A18" s="28" t="str">
        <x:v>Use versioned rollout</x:v>
      </x:c>
      <x:c r="B18" s="28" t="str">
        <x:v>Existing creatures and matches retain interpretable stats.</x:v>
      </x:c>
      <x:c r="C18" s="28" t="str">
        <x:v>Match locks both rules and balance versions.</x:v>
      </x:c>
      <x:c r="D18" s="28" t="str">
        <x:v>Program + operations</x:v>
      </x:c>
      <x:c r="E18" s="28" t="str">
        <x:v>Required</x:v>
      </x:c>
    </x:row>
    <x:row r="19">
      <x:c r="A19" s="28" t="str">
        <x:v>Tune with mirrored simulations</x:v>
      </x:c>
      <x:c r="B19" s="28" t="str">
        <x:v>Candidate numbers are hypotheses until tested.</x:v>
      </x:c>
      <x:c r="C19" s="28" t="str">
        <x:v>Meet all Validation thresholds before activation.</x:v>
      </x:c>
      <x:c r="D19" s="28" t="str">
        <x:v>Balance</x:v>
      </x:c>
      <x:c r="E19" s="28" t="str">
        <x:v>Required</x:v>
      </x:c>
    </x:row>
    <x:row r="20">
      <x:c r="A20" s="28" t="str">
        <x:v>Keep catalogue descriptive</x:v>
      </x:c>
      <x:c r="B20" s="28" t="str">
        <x:v>Solana SpeciesConfig remains authoritative for battle values.</x:v>
      </x:c>
      <x:c r="C20" s="28" t="str">
        <x:v>Supabase never awards or overrides battle stats.</x:v>
      </x:c>
      <x:c r="D20" s="28" t="str">
        <x:v>Data</x:v>
      </x:c>
      <x:c r="E20" s="28" t="str">
        <x:v>Required</x:v>
      </x:c>
    </x:row>
    <x:row r="23" ht="34" customHeight="1">
      <x:c r="A23" s="15" t="str">
        <x:v>Reading the workbook</x:v>
      </x:c>
      <x:c r="B23" s="16" t="str">
        <x:v>Use</x:v>
      </x:c>
    </x:row>
    <x:row r="24">
      <x:c r="A24" s="29" t="str">
        <x:v>Creature Balance</x:v>
      </x:c>
      <x:c r="B24" s="29" t="str">
        <x:v>Exact candidate numbers, costs, abilities, and formula-driven diagnostics.</x:v>
      </x:c>
    </x:row>
    <x:row r="25">
      <x:c r="A25" s="29" t="str">
        <x:v>Combat Rules</x:v>
      </x:c>
      <x:c r="B25" s="29" t="str">
        <x:v>Frozen rules that make the proposed numbers interpretable.</x:v>
      </x:c>
    </x:row>
    <x:row r="26">
      <x:c r="A26" s="29" t="str">
        <x:v>Backlog</x:v>
      </x:c>
      <x:c r="B26" s="29" t="str">
        <x:v>Sequenced implementation work with dependencies and acceptance criteria.</x:v>
      </x:c>
    </x:row>
    <x:row r="27">
      <x:c r="A27" s="29" t="str">
        <x:v>Validation</x:v>
      </x:c>
      <x:c r="B27" s="29" t="str">
        <x:v>Release thresholds; candidate balance is not production-approved until these pass.</x:v>
      </x:c>
    </x:row>
  </x:sheetData>
  <x:mergeCells>
    <x:mergeCell ref="A2:L2"/>
  </x:mergeCells>
  <x:pageMargins left="0.7" right="0.7" top="0.75" bottom="0.75" header="0.3" footer="0.3"/>
  <x:drawing xmlns:r="http://schemas.openxmlformats.org/officeDocument/2006/relationships" r:id="Rddca4ed8f1a441f8"/>
</x:worksheet>
</file>

<file path=xl/worksheets/sheet2.xml><?xml version="1.0" encoding="utf-8"?>
<x:worksheet xmlns:x="http://schemas.openxmlformats.org/spreadsheetml/2006/main">
  <x:sheetPr>
    <x:tabColor rgb="FF1F5F8B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12" hidden="0" customWidth="1"/>
    <x:col min="5" max="5" width="14" hidden="0" customWidth="1"/>
    <x:col min="6" max="6" width="11" hidden="0" customWidth="1"/>
    <x:col min="7" max="7" width="13" hidden="0" customWidth="1"/>
    <x:col min="8" max="8" width="12" hidden="0" customWidth="1"/>
    <x:col min="9" max="9" width="9" hidden="0" customWidth="1"/>
    <x:col min="10" max="10" width="9" hidden="0" customWidth="1"/>
    <x:col min="11" max="11" width="12" hidden="0" customWidth="1"/>
    <x:col min="12" max="12" width="12" hidden="0" customWidth="1"/>
    <x:col min="13" max="13" width="12" hidden="0" customWidth="1"/>
    <x:col min="14" max="14" width="11" hidden="0" customWidth="1"/>
    <x:col min="15" max="15" width="22" hidden="0" customWidth="1"/>
    <x:col min="16" max="16" width="12" hidden="0" customWidth="1"/>
    <x:col min="17" max="17" width="58" hidden="0" customWidth="1"/>
    <x:col min="18" max="18" width="42" hidden="0" customWidth="1"/>
    <x:col min="19" max="19" width="14" hidden="0" customWidth="1"/>
    <x:col min="20" max="20" width="19" hidden="0" customWidth="1"/>
    <x:col min="21" max="21" width="17" hidden="0" customWidth="1"/>
    <x:col min="22" max="22" width="13" hidden="0" customWidth="1"/>
  </x:cols>
  <x:sheetData>
    <x:row r="2" ht="26" customHeight="1">
      <x:c r="A2" s="2" t="str">
        <x:v>Creature Balance - 40-Creature Candidate Roster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4" customHeight="1">
      <x:c r="A4" s="15" t="str">
        <x:v>Catalogue ID</x:v>
      </x:c>
      <x:c r="B4" s="25" t="str">
        <x:v>Species ID</x:v>
      </x:c>
      <x:c r="C4" s="25" t="str">
        <x:v>Creature</x:v>
      </x:c>
      <x:c r="D4" s="25" t="str">
        <x:v>Rarity</x:v>
      </x:c>
      <x:c r="E4" s="25" t="str">
        <x:v>Role</x:v>
      </x:c>
      <x:c r="F4" s="25" t="str">
        <x:v>Current HP</x:v>
      </x:c>
      <x:c r="G4" s="25" t="str">
        <x:v>Current Speed</x:v>
      </x:c>
      <x:c r="H4" s="25" t="str">
        <x:v>Proposed HP</x:v>
      </x:c>
      <x:c r="I4" s="25" t="str">
        <x:v>ATK</x:v>
      </x:c>
      <x:c r="J4" s="25" t="str">
        <x:v>DEF</x:v>
      </x:c>
      <x:c r="K4" s="25" t="str">
        <x:v>Max Mana</x:v>
      </x:c>
      <x:c r="L4" s="25" t="str">
        <x:v>Strike Cost</x:v>
      </x:c>
      <x:c r="M4" s="25" t="str">
        <x:v>Guard Cost</x:v>
      </x:c>
      <x:c r="N4" s="25" t="str">
        <x:v>Recharge</x:v>
      </x:c>
      <x:c r="O4" s="25" t="str">
        <x:v>Ability</x:v>
      </x:c>
      <x:c r="P4" s="25" t="str">
        <x:v>Ability Cost</x:v>
      </x:c>
      <x:c r="Q4" s="25" t="str">
        <x:v>Ability Effect</x:v>
      </x:c>
      <x:c r="R4" s="25" t="str">
        <x:v>Play Pattern</x:v>
      </x:c>
      <x:c r="S4" s="25" t="str">
        <x:v>Effective HP</x:v>
      </x:c>
      <x:c r="T4" s="25" t="str">
        <x:v>Basic Damage vs 50 DEF</x:v>
      </x:c>
      <x:c r="U4" s="25" t="str">
        <x:v>Full-Mana Strikes</x:v>
      </x:c>
      <x:c r="V4" s="16" t="str">
        <x:v>Review Flag</x:v>
      </x:c>
    </x:row>
    <x:row r="6" ht="42" customHeight="1">
      <x:c r="A6" s="27" t="n">
        <x:v>1001</x:v>
      </x:c>
      <x:c r="B6" s="27" t="str">
        <x:v>chihuahua</x:v>
      </x:c>
      <x:c r="C6" s="27" t="str">
        <x:v>Chihuahua</x:v>
      </x:c>
      <x:c r="D6" s="27" t="str">
        <x:v>Common</x:v>
      </x:c>
      <x:c r="E6" s="27" t="str">
        <x:v>Skirmisher</x:v>
      </x:c>
      <x:c r="F6" s="32" t="n">
        <x:v>80</x:v>
      </x:c>
      <x:c r="G6" s="32" t="n">
        <x:v>95</x:v>
      </x:c>
      <x:c r="H6" s="34" t="n">
        <x:v>78</x:v>
      </x:c>
      <x:c r="I6" s="34" t="n">
        <x:v>58</x:v>
      </x:c>
      <x:c r="J6" s="34" t="n">
        <x:v>30</x:v>
      </x:c>
      <x:c r="K6" s="34" t="n">
        <x:v>7</x:v>
      </x:c>
      <x:c r="L6" s="34" t="n">
        <x:v>2</x:v>
      </x:c>
      <x:c r="M6" s="34" t="n">
        <x:v>1</x:v>
      </x:c>
      <x:c r="N6" s="34" t="n">
        <x:v>4</x:v>
      </x:c>
      <x:c r="O6" s="34" t="str">
        <x:v>Fearless Yap</x:v>
      </x:c>
      <x:c r="P6" s="34" t="n">
        <x:v>3</x:v>
      </x:c>
      <x:c r="Q6" s="28" t="str">
        <x:v>32 damage; reduce an incoming Strike by 8.</x:v>
      </x:c>
      <x:c r="R6" s="28" t="str">
        <x:v>Cheap tempo fighter; fragile if read correctly.</x:v>
      </x:c>
      <x:c r="S6" s="36" t="n">
        <x:f>ROUND(H6*(100+J6)/100,1)</x:f>
        <x:v>101.4</x:v>
      </x:c>
      <x:c r="T6" s="36" t="n">
        <x:f>MAX(1,FLOOR(I6*100/(100+50),1))</x:f>
        <x:v>38</x:v>
      </x:c>
      <x:c r="U6" s="36" t="n">
        <x:f>FLOOR(K6/L6,1)</x:f>
        <x:v>3</x:v>
      </x:c>
      <x:c r="V6" s="27" t="str">
        <x:f>IF(OR(H6&lt;50,H6&gt;150,I6&lt;45,I6&gt;80,J6&lt;20,J6&gt;80,K6&lt;5,K6&gt;8,L6&lt;1,L6&gt;3,M6&lt;1,M6&gt;2,N6&lt;2,N6&gt;5,P6&lt;3,P6&gt;5),"CHECK","OK")</x:f>
        <x:v>OK</x:v>
      </x:c>
    </x:row>
    <x:row r="7" ht="42" customHeight="1">
      <x:c r="A7" s="27" t="n">
        <x:v>1002</x:v>
      </x:c>
      <x:c r="B7" s="27" t="str">
        <x:v>golden_retriever</x:v>
      </x:c>
      <x:c r="C7" s="27" t="str">
        <x:v>Golden Retriever</x:v>
      </x:c>
      <x:c r="D7" s="27" t="str">
        <x:v>Common</x:v>
      </x:c>
      <x:c r="E7" s="27" t="str">
        <x:v>Support</x:v>
      </x:c>
      <x:c r="F7" s="32" t="n">
        <x:v>115</x:v>
      </x:c>
      <x:c r="G7" s="32" t="n">
        <x:v>45</x:v>
      </x:c>
      <x:c r="H7" s="34" t="n">
        <x:v>100</x:v>
      </x:c>
      <x:c r="I7" s="34" t="n">
        <x:v>56</x:v>
      </x:c>
      <x:c r="J7" s="34" t="n">
        <x:v>46</x:v>
      </x:c>
      <x:c r="K7" s="34" t="n">
        <x:v>6</x:v>
      </x:c>
      <x:c r="L7" s="34" t="n">
        <x:v>2</x:v>
      </x:c>
      <x:c r="M7" s="34" t="n">
        <x:v>2</x:v>
      </x:c>
      <x:c r="N7" s="34" t="n">
        <x:v>3</x:v>
      </x:c>
      <x:c r="O7" s="34" t="str">
        <x:v>Loyal Rescue</x:v>
      </x:c>
      <x:c r="P7" s="34" t="n">
        <x:v>4</x:v>
      </x:c>
      <x:c r="Q7" s="28" t="str">
        <x:v>Restore 24 HP.</x:v>
      </x:c>
      <x:c r="R7" s="28" t="str">
        <x:v>Reliable sustain without burst dominance.</x:v>
      </x:c>
      <x:c r="S7" s="36" t="n">
        <x:f>ROUND(H7*(100+J7)/100,1)</x:f>
        <x:v>146</x:v>
      </x:c>
      <x:c r="T7" s="36" t="n">
        <x:f>MAX(1,FLOOR(I7*100/(100+50),1))</x:f>
        <x:v>37</x:v>
      </x:c>
      <x:c r="U7" s="36" t="n">
        <x:f>FLOOR(K7/L7,1)</x:f>
        <x:v>3</x:v>
      </x:c>
      <x:c r="V7" s="27" t="str">
        <x:f>IF(OR(H7&lt;50,H7&gt;150,I7&lt;45,I7&gt;80,J7&lt;20,J7&gt;80,K7&lt;5,K7&gt;8,L7&lt;1,L7&gt;3,M7&lt;1,M7&gt;2,N7&lt;2,N7&gt;5,P7&lt;3,P7&gt;5),"CHECK","OK")</x:f>
        <x:v>OK</x:v>
      </x:c>
    </x:row>
    <x:row r="8" ht="42" customHeight="1">
      <x:c r="A8" s="27" t="n">
        <x:v>1003</x:v>
      </x:c>
      <x:c r="B8" s="27" t="str">
        <x:v>german_shepherd</x:v>
      </x:c>
      <x:c r="C8" s="27" t="str">
        <x:v>German Shepherd</x:v>
      </x:c>
      <x:c r="D8" s="27" t="str">
        <x:v>Common</x:v>
      </x:c>
      <x:c r="E8" s="27" t="str">
        <x:v>Balanced</x:v>
      </x:c>
      <x:c r="F8" s="32" t="n">
        <x:v>100</x:v>
      </x:c>
      <x:c r="G8" s="32" t="n">
        <x:v>55</x:v>
      </x:c>
      <x:c r="H8" s="34" t="n">
        <x:v>86</x:v>
      </x:c>
      <x:c r="I8" s="34" t="n">
        <x:v>58</x:v>
      </x:c>
      <x:c r="J8" s="34" t="n">
        <x:v>44</x:v>
      </x:c>
      <x:c r="K8" s="34" t="n">
        <x:v>6</x:v>
      </x:c>
      <x:c r="L8" s="34" t="n">
        <x:v>2</x:v>
      </x:c>
      <x:c r="M8" s="34" t="n">
        <x:v>2</x:v>
      </x:c>
      <x:c r="N8" s="34" t="n">
        <x:v>3</x:v>
      </x:c>
      <x:c r="O8" s="34" t="str">
        <x:v>K9 Discipline</x:v>
      </x:c>
      <x:c r="P8" s="34" t="n">
        <x:v>4</x:v>
      </x:c>
      <x:c r="Q8" s="28" t="str">
        <x:v>38 damage and 10 Guard this turn.</x:v>
      </x:c>
      <x:c r="R8" s="28" t="str">
        <x:v>Strong generalist with an expensive hybrid ability.</x:v>
      </x:c>
      <x:c r="S8" s="36" t="n">
        <x:f>ROUND(H8*(100+J8)/100,1)</x:f>
        <x:v>123.8</x:v>
      </x:c>
      <x:c r="T8" s="36" t="n">
        <x:f>MAX(1,FLOOR(I8*100/(100+50),1))</x:f>
        <x:v>38</x:v>
      </x:c>
      <x:c r="U8" s="36" t="n">
        <x:f>FLOOR(K8/L8,1)</x:f>
        <x:v>3</x:v>
      </x:c>
      <x:c r="V8" s="27" t="str">
        <x:f>IF(OR(H8&lt;50,H8&gt;150,I8&lt;45,I8&gt;80,J8&lt;20,J8&gt;80,K8&lt;5,K8&gt;8,L8&lt;1,L8&gt;3,M8&lt;1,M8&gt;2,N8&lt;2,N8&gt;5,P8&lt;3,P8&gt;5),"CHECK","OK")</x:f>
        <x:v>OK</x:v>
      </x:c>
    </x:row>
    <x:row r="9" ht="42" customHeight="1">
      <x:c r="A9" s="27" t="n">
        <x:v>1004</x:v>
      </x:c>
      <x:c r="B9" s="27" t="str">
        <x:v>tabby_cat</x:v>
      </x:c>
      <x:c r="C9" s="27" t="str">
        <x:v>Tabby Cat</x:v>
      </x:c>
      <x:c r="D9" s="27" t="str">
        <x:v>Common</x:v>
      </x:c>
      <x:c r="E9" s="27" t="str">
        <x:v>Skirmisher</x:v>
      </x:c>
      <x:c r="F9" s="32" t="n">
        <x:v>90</x:v>
      </x:c>
      <x:c r="G9" s="32" t="n">
        <x:v>80</x:v>
      </x:c>
      <x:c r="H9" s="34" t="n">
        <x:v>90</x:v>
      </x:c>
      <x:c r="I9" s="34" t="n">
        <x:v>62</x:v>
      </x:c>
      <x:c r="J9" s="34" t="n">
        <x:v>40</x:v>
      </x:c>
      <x:c r="K9" s="34" t="n">
        <x:v>7</x:v>
      </x:c>
      <x:c r="L9" s="34" t="n">
        <x:v>2</x:v>
      </x:c>
      <x:c r="M9" s="34" t="n">
        <x:v>2</x:v>
      </x:c>
      <x:c r="N9" s="34" t="n">
        <x:v>3</x:v>
      </x:c>
      <x:c r="O9" s="34" t="str">
        <x:v>Nine Lives</x:v>
      </x:c>
      <x:c r="P9" s="34" t="n">
        <x:v>4</x:v>
      </x:c>
      <x:c r="Q9" s="28" t="str">
        <x:v>Survive this turn's knockout at 1 HP.</x:v>
      </x:c>
      <x:c r="R9" s="28" t="str">
        <x:v>Evasive clutch specialist.</x:v>
      </x:c>
      <x:c r="S9" s="36" t="n">
        <x:f>ROUND(H9*(100+J9)/100,1)</x:f>
        <x:v>126</x:v>
      </x:c>
      <x:c r="T9" s="36" t="n">
        <x:f>MAX(1,FLOOR(I9*100/(100+50),1))</x:f>
        <x:v>41</x:v>
      </x:c>
      <x:c r="U9" s="36" t="n">
        <x:f>FLOOR(K9/L9,1)</x:f>
        <x:v>3</x:v>
      </x:c>
      <x:c r="V9" s="27" t="str">
        <x:f>IF(OR(H9&lt;50,H9&gt;150,I9&lt;45,I9&gt;80,J9&lt;20,J9&gt;80,K9&lt;5,K9&gt;8,L9&lt;1,L9&gt;3,M9&lt;1,M9&gt;2,N9&lt;2,N9&gt;5,P9&lt;3,P9&gt;5),"CHECK","OK")</x:f>
        <x:v>OK</x:v>
      </x:c>
    </x:row>
    <x:row r="10" ht="42" customHeight="1">
      <x:c r="A10" s="27" t="n">
        <x:v>1005</x:v>
      </x:c>
      <x:c r="B10" s="27" t="str">
        <x:v>persian_cat</x:v>
      </x:c>
      <x:c r="C10" s="27" t="str">
        <x:v>Persian Cat</x:v>
      </x:c>
      <x:c r="D10" s="27" t="str">
        <x:v>Common</x:v>
      </x:c>
      <x:c r="E10" s="27" t="str">
        <x:v>Guardian</x:v>
      </x:c>
      <x:c r="F10" s="32" t="n">
        <x:v>102</x:v>
      </x:c>
      <x:c r="G10" s="32" t="n">
        <x:v>35</x:v>
      </x:c>
      <x:c r="H10" s="34" t="n">
        <x:v>104</x:v>
      </x:c>
      <x:c r="I10" s="34" t="n">
        <x:v>52</x:v>
      </x:c>
      <x:c r="J10" s="34" t="n">
        <x:v>64</x:v>
      </x:c>
      <x:c r="K10" s="34" t="n">
        <x:v>6</x:v>
      </x:c>
      <x:c r="L10" s="34" t="n">
        <x:v>3</x:v>
      </x:c>
      <x:c r="M10" s="34" t="n">
        <x:v>1</x:v>
      </x:c>
      <x:c r="N10" s="34" t="n">
        <x:v>3</x:v>
      </x:c>
      <x:c r="O10" s="34" t="str">
        <x:v>Silken Ward</x:v>
      </x:c>
      <x:c r="P10" s="34" t="n">
        <x:v>3</x:v>
      </x:c>
      <x:c r="Q10" s="28" t="str">
        <x:v>Gain DEF + 14 Guard this turn.</x:v>
      </x:c>
      <x:c r="R10" s="28" t="str">
        <x:v>Low pressure, efficient protection.</x:v>
      </x:c>
      <x:c r="S10" s="36" t="n">
        <x:f>ROUND(H10*(100+J10)/100,1)</x:f>
        <x:v>170.6</x:v>
      </x:c>
      <x:c r="T10" s="36" t="n">
        <x:f>MAX(1,FLOOR(I10*100/(100+50),1))</x:f>
        <x:v>34</x:v>
      </x:c>
      <x:c r="U10" s="36" t="n">
        <x:f>FLOOR(K10/L10,1)</x:f>
        <x:v>2</x:v>
      </x:c>
      <x:c r="V10" s="27" t="str">
        <x:f>IF(OR(H10&lt;50,H10&gt;150,I10&lt;45,I10&gt;80,J10&lt;20,J10&gt;80,K10&lt;5,K10&gt;8,L10&lt;1,L10&gt;3,M10&lt;1,M10&gt;2,N10&lt;2,N10&gt;5,P10&lt;3,P10&gt;5),"CHECK","OK")</x:f>
        <x:v>OK</x:v>
      </x:c>
    </x:row>
    <x:row r="11" ht="42" customHeight="1">
      <x:c r="A11" s="27" t="n">
        <x:v>1006</x:v>
      </x:c>
      <x:c r="B11" s="27" t="str">
        <x:v>siamese_cat</x:v>
      </x:c>
      <x:c r="C11" s="27" t="str">
        <x:v>Siamese Cat</x:v>
      </x:c>
      <x:c r="D11" s="27" t="str">
        <x:v>Common</x:v>
      </x:c>
      <x:c r="E11" s="27" t="str">
        <x:v>Striker</x:v>
      </x:c>
      <x:c r="F11" s="32" t="n">
        <x:v>75</x:v>
      </x:c>
      <x:c r="G11" s="32" t="n">
        <x:v>100</x:v>
      </x:c>
      <x:c r="H11" s="34" t="n">
        <x:v>78</x:v>
      </x:c>
      <x:c r="I11" s="34" t="n">
        <x:v>72</x:v>
      </x:c>
      <x:c r="J11" s="34" t="n">
        <x:v>32</x:v>
      </x:c>
      <x:c r="K11" s="34" t="n">
        <x:v>6</x:v>
      </x:c>
      <x:c r="L11" s="34" t="n">
        <x:v>2</x:v>
      </x:c>
      <x:c r="M11" s="34" t="n">
        <x:v>2</x:v>
      </x:c>
      <x:c r="N11" s="34" t="n">
        <x:v>3</x:v>
      </x:c>
      <x:c r="O11" s="34" t="str">
        <x:v>Piercing Cry</x:v>
      </x:c>
      <x:c r="P11" s="34" t="n">
        <x:v>4</x:v>
      </x:c>
      <x:c r="Q11" s="28" t="str">
        <x:v>Deal 44 direct damage.</x:v>
      </x:c>
      <x:c r="R11" s="28" t="str">
        <x:v>Fast-cycle glass cannon without a speed stat.</x:v>
      </x:c>
      <x:c r="S11" s="36" t="n">
        <x:f>ROUND(H11*(100+J11)/100,1)</x:f>
        <x:v>103</x:v>
      </x:c>
      <x:c r="T11" s="36" t="n">
        <x:f>MAX(1,FLOOR(I11*100/(100+50),1))</x:f>
        <x:v>48</x:v>
      </x:c>
      <x:c r="U11" s="36" t="n">
        <x:f>FLOOR(K11/L11,1)</x:f>
        <x:v>3</x:v>
      </x:c>
      <x:c r="V11" s="27" t="str">
        <x:f>IF(OR(H11&lt;50,H11&gt;150,I11&lt;45,I11&gt;80,J11&lt;20,J11&gt;80,K11&lt;5,K11&gt;8,L11&lt;1,L11&gt;3,M11&lt;1,M11&gt;2,N11&lt;2,N11&gt;5,P11&lt;3,P11&gt;5),"CHECK","OK")</x:f>
        <x:v>OK</x:v>
      </x:c>
    </x:row>
    <x:row r="12" ht="42" customHeight="1">
      <x:c r="A12" s="27" t="n">
        <x:v>1007</x:v>
      </x:c>
      <x:c r="B12" s="27" t="str">
        <x:v>rooster</x:v>
      </x:c>
      <x:c r="C12" s="27" t="str">
        <x:v>Rooster</x:v>
      </x:c>
      <x:c r="D12" s="27" t="str">
        <x:v>Common</x:v>
      </x:c>
      <x:c r="E12" s="27" t="str">
        <x:v>Balanced</x:v>
      </x:c>
      <x:c r="F12" s="32" t="n">
        <x:v>92</x:v>
      </x:c>
      <x:c r="G12" s="32" t="n">
        <x:v>72</x:v>
      </x:c>
      <x:c r="H12" s="34" t="n">
        <x:v>88</x:v>
      </x:c>
      <x:c r="I12" s="34" t="n">
        <x:v>60</x:v>
      </x:c>
      <x:c r="J12" s="34" t="n">
        <x:v>40</x:v>
      </x:c>
      <x:c r="K12" s="34" t="n">
        <x:v>6</x:v>
      </x:c>
      <x:c r="L12" s="34" t="n">
        <x:v>2</x:v>
      </x:c>
      <x:c r="M12" s="34" t="n">
        <x:v>2</x:v>
      </x:c>
      <x:c r="N12" s="34" t="n">
        <x:v>3</x:v>
      </x:c>
      <x:c r="O12" s="34" t="str">
        <x:v>Dawn Challenge</x:v>
      </x:c>
      <x:c r="P12" s="34" t="n">
        <x:v>3</x:v>
      </x:c>
      <x:c r="Q12" s="28" t="str">
        <x:v>Deal 34 direct damage.</x:v>
      </x:c>
      <x:c r="R12" s="28" t="str">
        <x:v>Disrupts defensive loops.</x:v>
      </x:c>
      <x:c r="S12" s="36" t="n">
        <x:f>ROUND(H12*(100+J12)/100,1)</x:f>
        <x:v>123.2</x:v>
      </x:c>
      <x:c r="T12" s="36" t="n">
        <x:f>MAX(1,FLOOR(I12*100/(100+50),1))</x:f>
        <x:v>40</x:v>
      </x:c>
      <x:c r="U12" s="36" t="n">
        <x:f>FLOOR(K12/L12,1)</x:f>
        <x:v>3</x:v>
      </x:c>
      <x:c r="V12" s="27" t="str">
        <x:f>IF(OR(H12&lt;50,H12&gt;150,I12&lt;45,I12&gt;80,J12&lt;20,J12&gt;80,K12&lt;5,K12&gt;8,L12&lt;1,L12&gt;3,M12&lt;1,M12&gt;2,N12&lt;2,N12&gt;5,P12&lt;3,P12&gt;5),"CHECK","OK")</x:f>
        <x:v>OK</x:v>
      </x:c>
    </x:row>
    <x:row r="13" ht="42" customHeight="1">
      <x:c r="A13" s="27" t="n">
        <x:v>1008</x:v>
      </x:c>
      <x:c r="B13" s="27" t="str">
        <x:v>hen</x:v>
      </x:c>
      <x:c r="C13" s="27" t="str">
        <x:v>Hen</x:v>
      </x:c>
      <x:c r="D13" s="27" t="str">
        <x:v>Common</x:v>
      </x:c>
      <x:c r="E13" s="27" t="str">
        <x:v>Guardian</x:v>
      </x:c>
      <x:c r="F13" s="32" t="n">
        <x:v>100</x:v>
      </x:c>
      <x:c r="G13" s="32" t="n">
        <x:v>55</x:v>
      </x:c>
      <x:c r="H13" s="34" t="n">
        <x:v>106</x:v>
      </x:c>
      <x:c r="I13" s="34" t="n">
        <x:v>50</x:v>
      </x:c>
      <x:c r="J13" s="34" t="n">
        <x:v>54</x:v>
      </x:c>
      <x:c r="K13" s="34" t="n">
        <x:v>6</x:v>
      </x:c>
      <x:c r="L13" s="34" t="n">
        <x:v>3</x:v>
      </x:c>
      <x:c r="M13" s="34" t="n">
        <x:v>1</x:v>
      </x:c>
      <x:c r="N13" s="34" t="n">
        <x:v>3</x:v>
      </x:c>
      <x:c r="O13" s="34" t="str">
        <x:v>Brood Cover</x:v>
      </x:c>
      <x:c r="P13" s="34" t="n">
        <x:v>3</x:v>
      </x:c>
      <x:c r="Q13" s="28" t="str">
        <x:v>Gain DEF Guard and restore 8 HP.</x:v>
      </x:c>
      <x:c r="R13" s="28" t="str">
        <x:v>Steady low-cost defender.</x:v>
      </x:c>
      <x:c r="S13" s="36" t="n">
        <x:f>ROUND(H13*(100+J13)/100,1)</x:f>
        <x:v>163.2</x:v>
      </x:c>
      <x:c r="T13" s="36" t="n">
        <x:f>MAX(1,FLOOR(I13*100/(100+50),1))</x:f>
        <x:v>33</x:v>
      </x:c>
      <x:c r="U13" s="36" t="n">
        <x:f>FLOOR(K13/L13,1)</x:f>
        <x:v>2</x:v>
      </x:c>
      <x:c r="V13" s="27" t="str">
        <x:f>IF(OR(H13&lt;50,H13&gt;150,I13&lt;45,I13&gt;80,J13&lt;20,J13&gt;80,K13&lt;5,K13&gt;8,L13&lt;1,L13&gt;3,M13&lt;1,M13&gt;2,N13&lt;2,N13&gt;5,P13&lt;3,P13&gt;5),"CHECK","OK")</x:f>
        <x:v>OK</x:v>
      </x:c>
    </x:row>
    <x:row r="14" ht="42" customHeight="1">
      <x:c r="A14" s="27" t="n">
        <x:v>1009</x:v>
      </x:c>
      <x:c r="B14" s="27" t="str">
        <x:v>bullfrog</x:v>
      </x:c>
      <x:c r="C14" s="27" t="str">
        <x:v>Bullfrog</x:v>
      </x:c>
      <x:c r="D14" s="27" t="str">
        <x:v>Uncommon</x:v>
      </x:c>
      <x:c r="E14" s="27" t="str">
        <x:v>Brawler</x:v>
      </x:c>
      <x:c r="F14" s="32" t="n">
        <x:v>96</x:v>
      </x:c>
      <x:c r="G14" s="32" t="n">
        <x:v>68</x:v>
      </x:c>
      <x:c r="H14" s="34" t="n">
        <x:v>106</x:v>
      </x:c>
      <x:c r="I14" s="34" t="n">
        <x:v>66</x:v>
      </x:c>
      <x:c r="J14" s="34" t="n">
        <x:v>52</x:v>
      </x:c>
      <x:c r="K14" s="34" t="n">
        <x:v>5</x:v>
      </x:c>
      <x:c r="L14" s="34" t="n">
        <x:v>3</x:v>
      </x:c>
      <x:c r="M14" s="34" t="n">
        <x:v>2</x:v>
      </x:c>
      <x:c r="N14" s="34" t="n">
        <x:v>3</x:v>
      </x:c>
      <x:c r="O14" s="34" t="str">
        <x:v>Tongue Lash</x:v>
      </x:c>
      <x:c r="P14" s="34" t="n">
        <x:v>4</x:v>
      </x:c>
      <x:c r="Q14" s="28" t="str">
        <x:v>46 damage, plus 12 against Recharge.</x:v>
      </x:c>
      <x:c r="R14" s="28" t="str">
        <x:v>Punishes greedy mana recovery.</x:v>
      </x:c>
      <x:c r="S14" s="36" t="n">
        <x:f>ROUND(H14*(100+J14)/100,1)</x:f>
        <x:v>161.1</x:v>
      </x:c>
      <x:c r="T14" s="36" t="n">
        <x:f>MAX(1,FLOOR(I14*100/(100+50),1))</x:f>
        <x:v>44</x:v>
      </x:c>
      <x:c r="U14" s="36" t="n">
        <x:f>FLOOR(K14/L14,1)</x:f>
        <x:v>1</x:v>
      </x:c>
      <x:c r="V14" s="27" t="str">
        <x:f>IF(OR(H14&lt;50,H14&gt;150,I14&lt;45,I14&gt;80,J14&lt;20,J14&gt;80,K14&lt;5,K14&gt;8,L14&lt;1,L14&gt;3,M14&lt;1,M14&gt;2,N14&lt;2,N14&gt;5,P14&lt;3,P14&gt;5),"CHECK","OK")</x:f>
        <x:v>OK</x:v>
      </x:c>
    </x:row>
    <x:row r="15" ht="42" customHeight="1">
      <x:c r="A15" s="27" t="n">
        <x:v>1010</x:v>
      </x:c>
      <x:c r="B15" s="27" t="str">
        <x:v>tree_frog</x:v>
      </x:c>
      <x:c r="C15" s="27" t="str">
        <x:v>Tree Frog</x:v>
      </x:c>
      <x:c r="D15" s="27" t="str">
        <x:v>Common</x:v>
      </x:c>
      <x:c r="E15" s="27" t="str">
        <x:v>Skirmisher</x:v>
      </x:c>
      <x:c r="F15" s="32" t="n">
        <x:v>72</x:v>
      </x:c>
      <x:c r="G15" s="32" t="n">
        <x:v>94</x:v>
      </x:c>
      <x:c r="H15" s="34" t="n">
        <x:v>76</x:v>
      </x:c>
      <x:c r="I15" s="34" t="n">
        <x:v>58</x:v>
      </x:c>
      <x:c r="J15" s="34" t="n">
        <x:v>34</x:v>
      </x:c>
      <x:c r="K15" s="34" t="n">
        <x:v>8</x:v>
      </x:c>
      <x:c r="L15" s="34" t="n">
        <x:v>1</x:v>
      </x:c>
      <x:c r="M15" s="34" t="n">
        <x:v>2</x:v>
      </x:c>
      <x:c r="N15" s="34" t="n">
        <x:v>4</x:v>
      </x:c>
      <x:c r="O15" s="34" t="str">
        <x:v>Canopy Leap</x:v>
      </x:c>
      <x:c r="P15" s="34" t="n">
        <x:v>3</x:v>
      </x:c>
      <x:c r="Q15" s="28" t="str">
        <x:v>Halve incoming Strike damage and deal 20.</x:v>
      </x:c>
      <x:c r="R15" s="28" t="str">
        <x:v>High-mana, low-body tactical scout.</x:v>
      </x:c>
      <x:c r="S15" s="36" t="n">
        <x:f>ROUND(H15*(100+J15)/100,1)</x:f>
        <x:v>101.8</x:v>
      </x:c>
      <x:c r="T15" s="36" t="n">
        <x:f>MAX(1,FLOOR(I15*100/(100+50),1))</x:f>
        <x:v>38</x:v>
      </x:c>
      <x:c r="U15" s="36" t="n">
        <x:f>FLOOR(K15/L15,1)</x:f>
        <x:v>8</x:v>
      </x:c>
      <x:c r="V15" s="27" t="str">
        <x:f>IF(OR(H15&lt;50,H15&gt;150,I15&lt;45,I15&gt;80,J15&lt;20,J15&gt;80,K15&lt;5,K15&gt;8,L15&lt;1,L15&gt;3,M15&lt;1,M15&gt;2,N15&lt;2,N15&gt;5,P15&lt;3,P15&gt;5),"CHECK","OK")</x:f>
        <x:v>OK</x:v>
      </x:c>
    </x:row>
    <x:row r="16" ht="42" customHeight="1">
      <x:c r="A16" s="27" t="n">
        <x:v>1011</x:v>
      </x:c>
      <x:c r="B16" s="27" t="str">
        <x:v>sea_snake</x:v>
      </x:c>
      <x:c r="C16" s="27" t="str">
        <x:v>Sea Snake</x:v>
      </x:c>
      <x:c r="D16" s="27" t="str">
        <x:v>Rare</x:v>
      </x:c>
      <x:c r="E16" s="27" t="str">
        <x:v>Striker</x:v>
      </x:c>
      <x:c r="F16" s="32" t="n">
        <x:v>82</x:v>
      </x:c>
      <x:c r="G16" s="32" t="n">
        <x:v>78</x:v>
      </x:c>
      <x:c r="H16" s="34" t="n">
        <x:v>82</x:v>
      </x:c>
      <x:c r="I16" s="34" t="n">
        <x:v>76</x:v>
      </x:c>
      <x:c r="J16" s="34" t="n">
        <x:v>34</x:v>
      </x:c>
      <x:c r="K16" s="34" t="n">
        <x:v>6</x:v>
      </x:c>
      <x:c r="L16" s="34" t="n">
        <x:v>2</x:v>
      </x:c>
      <x:c r="M16" s="34" t="n">
        <x:v>2</x:v>
      </x:c>
      <x:c r="N16" s="34" t="n">
        <x:v>3</x:v>
      </x:c>
      <x:c r="O16" s="34" t="str">
        <x:v>Venom Tide</x:v>
      </x:c>
      <x:c r="P16" s="34" t="n">
        <x:v>5</x:v>
      </x:c>
      <x:c r="Q16" s="28" t="str">
        <x:v>Deal 62 direct damage in one venom burst.</x:v>
      </x:c>
      <x:c r="R16" s="28" t="str">
        <x:v>High commitment damage-over-time finisher.</x:v>
      </x:c>
      <x:c r="S16" s="36" t="n">
        <x:f>ROUND(H16*(100+J16)/100,1)</x:f>
        <x:v>109.9</x:v>
      </x:c>
      <x:c r="T16" s="36" t="n">
        <x:f>MAX(1,FLOOR(I16*100/(100+50),1))</x:f>
        <x:v>50</x:v>
      </x:c>
      <x:c r="U16" s="36" t="n">
        <x:f>FLOOR(K16/L16,1)</x:f>
        <x:v>3</x:v>
      </x:c>
      <x:c r="V16" s="27" t="str">
        <x:f>IF(OR(H16&lt;50,H16&gt;150,I16&lt;45,I16&gt;80,J16&lt;20,J16&gt;80,K16&lt;5,K16&gt;8,L16&lt;1,L16&gt;3,M16&lt;1,M16&gt;2,N16&lt;2,N16&gt;5,P16&lt;3,P16&gt;5),"CHECK","OK")</x:f>
        <x:v>OK</x:v>
      </x:c>
    </x:row>
    <x:row r="17" ht="42" customHeight="1">
      <x:c r="A17" s="27" t="n">
        <x:v>1012</x:v>
      </x:c>
      <x:c r="B17" s="27" t="str">
        <x:v>african_grey_parrot</x:v>
      </x:c>
      <x:c r="C17" s="27" t="str">
        <x:v>African Grey Parrot</x:v>
      </x:c>
      <x:c r="D17" s="27" t="str">
        <x:v>Uncommon</x:v>
      </x:c>
      <x:c r="E17" s="27" t="str">
        <x:v>Controller</x:v>
      </x:c>
      <x:c r="F17" s="32" t="n">
        <x:v>86</x:v>
      </x:c>
      <x:c r="G17" s="32" t="n">
        <x:v>82</x:v>
      </x:c>
      <x:c r="H17" s="34" t="n">
        <x:v>86</x:v>
      </x:c>
      <x:c r="I17" s="34" t="n">
        <x:v>58</x:v>
      </x:c>
      <x:c r="J17" s="34" t="n">
        <x:v>40</x:v>
      </x:c>
      <x:c r="K17" s="34" t="n">
        <x:v>8</x:v>
      </x:c>
      <x:c r="L17" s="34" t="n">
        <x:v>2</x:v>
      </x:c>
      <x:c r="M17" s="34" t="n">
        <x:v>2</x:v>
      </x:c>
      <x:c r="N17" s="34" t="n">
        <x:v>4</x:v>
      </x:c>
      <x:c r="O17" s="34" t="str">
        <x:v>Perfect Mimic</x:v>
      </x:c>
      <x:c r="P17" s="34" t="n">
        <x:v>4</x:v>
      </x:c>
      <x:c r="Q17" s="28" t="str">
        <x:v>Copy the enemy's action this turn.</x:v>
      </x:c>
      <x:c r="R17" s="28" t="str">
        <x:v>Flexible counterplay; requires action-history rules.</x:v>
      </x:c>
      <x:c r="S17" s="36" t="n">
        <x:f>ROUND(H17*(100+J17)/100,1)</x:f>
        <x:v>120.4</x:v>
      </x:c>
      <x:c r="T17" s="36" t="n">
        <x:f>MAX(1,FLOOR(I17*100/(100+50),1))</x:f>
        <x:v>38</x:v>
      </x:c>
      <x:c r="U17" s="36" t="n">
        <x:f>FLOOR(K17/L17,1)</x:f>
        <x:v>4</x:v>
      </x:c>
      <x:c r="V17" s="27" t="str">
        <x:f>IF(OR(H17&lt;50,H17&gt;150,I17&lt;45,I17&gt;80,J17&lt;20,J17&gt;80,K17&lt;5,K17&gt;8,L17&lt;1,L17&gt;3,M17&lt;1,M17&gt;2,N17&lt;2,N17&gt;5,P17&lt;3,P17&gt;5),"CHECK","OK")</x:f>
        <x:v>OK</x:v>
      </x:c>
    </x:row>
    <x:row r="18" ht="42" customHeight="1">
      <x:c r="A18" s="27" t="n">
        <x:v>1013</x:v>
      </x:c>
      <x:c r="B18" s="27" t="str">
        <x:v>macaw</x:v>
      </x:c>
      <x:c r="C18" s="27" t="str">
        <x:v>Macaw</x:v>
      </x:c>
      <x:c r="D18" s="27" t="str">
        <x:v>Uncommon</x:v>
      </x:c>
      <x:c r="E18" s="27" t="str">
        <x:v>Striker</x:v>
      </x:c>
      <x:c r="F18" s="32" t="n">
        <x:v>88</x:v>
      </x:c>
      <x:c r="G18" s="32" t="n">
        <x:v>86</x:v>
      </x:c>
      <x:c r="H18" s="34" t="n">
        <x:v>84</x:v>
      </x:c>
      <x:c r="I18" s="34" t="n">
        <x:v>68</x:v>
      </x:c>
      <x:c r="J18" s="34" t="n">
        <x:v>34</x:v>
      </x:c>
      <x:c r="K18" s="34" t="n">
        <x:v>6</x:v>
      </x:c>
      <x:c r="L18" s="34" t="n">
        <x:v>2</x:v>
      </x:c>
      <x:c r="M18" s="34" t="n">
        <x:v>2</x:v>
      </x:c>
      <x:c r="N18" s="34" t="n">
        <x:v>3</x:v>
      </x:c>
      <x:c r="O18" s="34" t="str">
        <x:v>Crushing Beak</x:v>
      </x:c>
      <x:c r="P18" s="34" t="n">
        <x:v>4</x:v>
      </x:c>
      <x:c r="Q18" s="28" t="str">
        <x:v>50 damage, with a minimum of 18 after mitigation.</x:v>
      </x:c>
      <x:c r="R18" s="28" t="str">
        <x:v>Consistent heavy hit.</x:v>
      </x:c>
      <x:c r="S18" s="36" t="n">
        <x:f>ROUND(H18*(100+J18)/100,1)</x:f>
        <x:v>112.6</x:v>
      </x:c>
      <x:c r="T18" s="36" t="n">
        <x:f>MAX(1,FLOOR(I18*100/(100+50),1))</x:f>
        <x:v>45</x:v>
      </x:c>
      <x:c r="U18" s="36" t="n">
        <x:f>FLOOR(K18/L18,1)</x:f>
        <x:v>3</x:v>
      </x:c>
      <x:c r="V18" s="27" t="str">
        <x:f>IF(OR(H18&lt;50,H18&gt;150,I18&lt;45,I18&gt;80,J18&lt;20,J18&gt;80,K18&lt;5,K18&gt;8,L18&lt;1,L18&gt;3,M18&lt;1,M18&gt;2,N18&lt;2,N18&gt;5,P18&lt;3,P18&gt;5),"CHECK","OK")</x:f>
        <x:v>OK</x:v>
      </x:c>
    </x:row>
    <x:row r="19" ht="42" customHeight="1">
      <x:c r="A19" s="27" t="n">
        <x:v>1014</x:v>
      </x:c>
      <x:c r="B19" s="27" t="str">
        <x:v>toy_terrier</x:v>
      </x:c>
      <x:c r="C19" s="27" t="str">
        <x:v>Toy Terrier</x:v>
      </x:c>
      <x:c r="D19" s="27" t="str">
        <x:v>Common</x:v>
      </x:c>
      <x:c r="E19" s="27" t="str">
        <x:v>Skirmisher</x:v>
      </x:c>
      <x:c r="F19" s="32" t="n">
        <x:v>78</x:v>
      </x:c>
      <x:c r="G19" s="32" t="n">
        <x:v>96</x:v>
      </x:c>
      <x:c r="H19" s="34" t="n">
        <x:v>70</x:v>
      </x:c>
      <x:c r="I19" s="34" t="n">
        <x:v>60</x:v>
      </x:c>
      <x:c r="J19" s="34" t="n">
        <x:v>28</x:v>
      </x:c>
      <x:c r="K19" s="34" t="n">
        <x:v>8</x:v>
      </x:c>
      <x:c r="L19" s="34" t="n">
        <x:v>1</x:v>
      </x:c>
      <x:c r="M19" s="34" t="n">
        <x:v>2</x:v>
      </x:c>
      <x:c r="N19" s="34" t="n">
        <x:v>4</x:v>
      </x:c>
      <x:c r="O19" s="34" t="str">
        <x:v>Ankle Rush</x:v>
      </x:c>
      <x:c r="P19" s="34" t="n">
        <x:v>3</x:v>
      </x:c>
      <x:c r="Q19" s="28" t="str">
        <x:v>28 damage; refund 1 mana unless enemy Guards.</x:v>
      </x:c>
      <x:c r="R19" s="28" t="str">
        <x:v>Repeated cheap pressure.</x:v>
      </x:c>
      <x:c r="S19" s="36" t="n">
        <x:f>ROUND(H19*(100+J19)/100,1)</x:f>
        <x:v>89.6</x:v>
      </x:c>
      <x:c r="T19" s="36" t="n">
        <x:f>MAX(1,FLOOR(I19*100/(100+50),1))</x:f>
        <x:v>40</x:v>
      </x:c>
      <x:c r="U19" s="36" t="n">
        <x:f>FLOOR(K19/L19,1)</x:f>
        <x:v>8</x:v>
      </x:c>
      <x:c r="V19" s="27" t="str">
        <x:f>IF(OR(H19&lt;50,H19&gt;150,I19&lt;45,I19&gt;80,J19&lt;20,J19&gt;80,K19&lt;5,K19&gt;8,L19&lt;1,L19&gt;3,M19&lt;1,M19&gt;2,N19&lt;2,N19&gt;5,P19&lt;3,P19&gt;5),"CHECK","OK")</x:f>
        <x:v>OK</x:v>
      </x:c>
    </x:row>
    <x:row r="20" ht="42" customHeight="1">
      <x:c r="A20" s="27" t="n">
        <x:v>1015</x:v>
      </x:c>
      <x:c r="B20" s="27" t="str">
        <x:v>staffordshire_bull_terrier</x:v>
      </x:c>
      <x:c r="C20" s="27" t="str">
        <x:v>Staffordshire Bull Terrier</x:v>
      </x:c>
      <x:c r="D20" s="27" t="str">
        <x:v>Uncommon</x:v>
      </x:c>
      <x:c r="E20" s="27" t="str">
        <x:v>Brawler</x:v>
      </x:c>
      <x:c r="F20" s="32" t="n">
        <x:v>104</x:v>
      </x:c>
      <x:c r="G20" s="32" t="n">
        <x:v>58</x:v>
      </x:c>
      <x:c r="H20" s="34" t="n">
        <x:v>104</x:v>
      </x:c>
      <x:c r="I20" s="34" t="n">
        <x:v>68</x:v>
      </x:c>
      <x:c r="J20" s="34" t="n">
        <x:v>44</x:v>
      </x:c>
      <x:c r="K20" s="34" t="n">
        <x:v>5</x:v>
      </x:c>
      <x:c r="L20" s="34" t="n">
        <x:v>3</x:v>
      </x:c>
      <x:c r="M20" s="34" t="n">
        <x:v>2</x:v>
      </x:c>
      <x:c r="N20" s="34" t="n">
        <x:v>3</x:v>
      </x:c>
      <x:c r="O20" s="34" t="str">
        <x:v>Tenacious Grip</x:v>
      </x:c>
      <x:c r="P20" s="34" t="n">
        <x:v>4</x:v>
      </x:c>
      <x:c r="Q20" s="28" t="str">
        <x:v>Deal 45 damage and drain 1 enemy mana.</x:v>
      </x:c>
      <x:c r="R20" s="28" t="str">
        <x:v>Durable pressure with economy denial.</x:v>
      </x:c>
      <x:c r="S20" s="36" t="n">
        <x:f>ROUND(H20*(100+J20)/100,1)</x:f>
        <x:v>149.8</x:v>
      </x:c>
      <x:c r="T20" s="36" t="n">
        <x:f>MAX(1,FLOOR(I20*100/(100+50),1))</x:f>
        <x:v>45</x:v>
      </x:c>
      <x:c r="U20" s="36" t="n">
        <x:f>FLOOR(K20/L20,1)</x:f>
        <x:v>1</x:v>
      </x:c>
      <x:c r="V20" s="27" t="str">
        <x:f>IF(OR(H20&lt;50,H20&gt;150,I20&lt;45,I20&gt;80,J20&lt;20,J20&gt;80,K20&lt;5,K20&gt;8,L20&lt;1,L20&gt;3,M20&lt;1,M20&gt;2,N20&lt;2,N20&gt;5,P20&lt;3,P20&gt;5),"CHECK","OK")</x:f>
        <x:v>OK</x:v>
      </x:c>
    </x:row>
    <x:row r="21" ht="42" customHeight="1">
      <x:c r="A21" s="27" t="n">
        <x:v>1016</x:v>
      </x:c>
      <x:c r="B21" s="27" t="str">
        <x:v>boston_terrier</x:v>
      </x:c>
      <x:c r="C21" s="27" t="str">
        <x:v>Boston Terrier</x:v>
      </x:c>
      <x:c r="D21" s="27" t="str">
        <x:v>Uncommon</x:v>
      </x:c>
      <x:c r="E21" s="27" t="str">
        <x:v>Balanced</x:v>
      </x:c>
      <x:c r="F21" s="32" t="n">
        <x:v>88</x:v>
      </x:c>
      <x:c r="G21" s="32" t="n">
        <x:v>84</x:v>
      </x:c>
      <x:c r="H21" s="34" t="n">
        <x:v>86</x:v>
      </x:c>
      <x:c r="I21" s="34" t="n">
        <x:v>60</x:v>
      </x:c>
      <x:c r="J21" s="34" t="n">
        <x:v>42</x:v>
      </x:c>
      <x:c r="K21" s="34" t="n">
        <x:v>7</x:v>
      </x:c>
      <x:c r="L21" s="34" t="n">
        <x:v>2</x:v>
      </x:c>
      <x:c r="M21" s="34" t="n">
        <x:v>2</x:v>
      </x:c>
      <x:c r="N21" s="34" t="n">
        <x:v>3</x:v>
      </x:c>
      <x:c r="O21" s="34" t="str">
        <x:v>Smart Feint</x:v>
      </x:c>
      <x:c r="P21" s="34" t="n">
        <x:v>3</x:v>
      </x:c>
      <x:c r="Q21" s="28" t="str">
        <x:v>30 damage; regain 2 mana against Guard.</x:v>
      </x:c>
      <x:c r="R21" s="28" t="str">
        <x:v>Reads defense and cycles quickly.</x:v>
      </x:c>
      <x:c r="S21" s="36" t="n">
        <x:f>ROUND(H21*(100+J21)/100,1)</x:f>
        <x:v>122.1</x:v>
      </x:c>
      <x:c r="T21" s="36" t="n">
        <x:f>MAX(1,FLOOR(I21*100/(100+50),1))</x:f>
        <x:v>40</x:v>
      </x:c>
      <x:c r="U21" s="36" t="n">
        <x:f>FLOOR(K21/L21,1)</x:f>
        <x:v>3</x:v>
      </x:c>
      <x:c r="V21" s="27" t="str">
        <x:f>IF(OR(H21&lt;50,H21&gt;150,I21&lt;45,I21&gt;80,J21&lt;20,J21&gt;80,K21&lt;5,K21&gt;8,L21&lt;1,L21&gt;3,M21&lt;1,M21&gt;2,N21&lt;2,N21&gt;5,P21&lt;3,P21&gt;5),"CHECK","OK")</x:f>
        <x:v>OK</x:v>
      </x:c>
    </x:row>
    <x:row r="22" ht="42" customHeight="1">
      <x:c r="A22" s="27" t="n">
        <x:v>1017</x:v>
      </x:c>
      <x:c r="B22" s="27" t="str">
        <x:v>labrador_retriever</x:v>
      </x:c>
      <x:c r="C22" s="27" t="str">
        <x:v>Labrador Retriever</x:v>
      </x:c>
      <x:c r="D22" s="27" t="str">
        <x:v>Common</x:v>
      </x:c>
      <x:c r="E22" s="27" t="str">
        <x:v>Support</x:v>
      </x:c>
      <x:c r="F22" s="32" t="n">
        <x:v>108</x:v>
      </x:c>
      <x:c r="G22" s="32" t="n">
        <x:v>60</x:v>
      </x:c>
      <x:c r="H22" s="34" t="n">
        <x:v>100</x:v>
      </x:c>
      <x:c r="I22" s="34" t="n">
        <x:v>56</x:v>
      </x:c>
      <x:c r="J22" s="34" t="n">
        <x:v>46</x:v>
      </x:c>
      <x:c r="K22" s="34" t="n">
        <x:v>6</x:v>
      </x:c>
      <x:c r="L22" s="34" t="n">
        <x:v>2</x:v>
      </x:c>
      <x:c r="M22" s="34" t="n">
        <x:v>2</x:v>
      </x:c>
      <x:c r="N22" s="34" t="n">
        <x:v>3</x:v>
      </x:c>
      <x:c r="O22" s="34" t="str">
        <x:v>Fetch Supplies</x:v>
      </x:c>
      <x:c r="P22" s="34" t="n">
        <x:v>4</x:v>
      </x:c>
      <x:c r="Q22" s="28" t="str">
        <x:v>Restore 2 mana and 18 HP.</x:v>
      </x:c>
      <x:c r="R22" s="28" t="str">
        <x:v>Endurance and resource recovery.</x:v>
      </x:c>
      <x:c r="S22" s="36" t="n">
        <x:f>ROUND(H22*(100+J22)/100,1)</x:f>
        <x:v>146</x:v>
      </x:c>
      <x:c r="T22" s="36" t="n">
        <x:f>MAX(1,FLOOR(I22*100/(100+50),1))</x:f>
        <x:v>37</x:v>
      </x:c>
      <x:c r="U22" s="36" t="n">
        <x:f>FLOOR(K22/L22,1)</x:f>
        <x:v>3</x:v>
      </x:c>
      <x:c r="V22" s="27" t="str">
        <x:f>IF(OR(H22&lt;50,H22&gt;150,I22&lt;45,I22&gt;80,J22&lt;20,J22&gt;80,K22&lt;5,K22&gt;8,L22&lt;1,L22&gt;3,M22&lt;1,M22&gt;2,N22&lt;2,N22&gt;5,P22&lt;3,P22&gt;5),"CHECK","OK")</x:f>
        <x:v>OK</x:v>
      </x:c>
    </x:row>
    <x:row r="23" ht="42" customHeight="1">
      <x:c r="A23" s="27" t="n">
        <x:v>1018</x:v>
      </x:c>
      <x:c r="B23" s="27" t="str">
        <x:v>english_springer_spaniel</x:v>
      </x:c>
      <x:c r="C23" s="27" t="str">
        <x:v>English Springer Spaniel</x:v>
      </x:c>
      <x:c r="D23" s="27" t="str">
        <x:v>Uncommon</x:v>
      </x:c>
      <x:c r="E23" s="27" t="str">
        <x:v>Controller</x:v>
      </x:c>
      <x:c r="F23" s="32" t="n">
        <x:v>94</x:v>
      </x:c>
      <x:c r="G23" s="32" t="n">
        <x:v>82</x:v>
      </x:c>
      <x:c r="H23" s="34" t="n">
        <x:v>86</x:v>
      </x:c>
      <x:c r="I23" s="34" t="n">
        <x:v>60</x:v>
      </x:c>
      <x:c r="J23" s="34" t="n">
        <x:v>38</x:v>
      </x:c>
      <x:c r="K23" s="34" t="n">
        <x:v>7</x:v>
      </x:c>
      <x:c r="L23" s="34" t="n">
        <x:v>2</x:v>
      </x:c>
      <x:c r="M23" s="34" t="n">
        <x:v>2</x:v>
      </x:c>
      <x:c r="N23" s="34" t="n">
        <x:v>4</x:v>
      </x:c>
      <x:c r="O23" s="34" t="str">
        <x:v>Flush Out</x:v>
      </x:c>
      <x:c r="P23" s="34" t="n">
        <x:v>4</x:v>
      </x:c>
      <x:c r="Q23" s="28" t="str">
        <x:v>Deal 36 damage and drain 1 mana on Recharge.</x:v>
      </x:c>
      <x:c r="R23" s="28" t="str">
        <x:v>Controls high-recharge creatures.</x:v>
      </x:c>
      <x:c r="S23" s="36" t="n">
        <x:f>ROUND(H23*(100+J23)/100,1)</x:f>
        <x:v>118.7</x:v>
      </x:c>
      <x:c r="T23" s="36" t="n">
        <x:f>MAX(1,FLOOR(I23*100/(100+50),1))</x:f>
        <x:v>40</x:v>
      </x:c>
      <x:c r="U23" s="36" t="n">
        <x:f>FLOOR(K23/L23,1)</x:f>
        <x:v>3</x:v>
      </x:c>
      <x:c r="V23" s="27" t="str">
        <x:f>IF(OR(H23&lt;50,H23&gt;150,I23&lt;45,I23&gt;80,J23&lt;20,J23&gt;80,K23&lt;5,K23&gt;8,L23&lt;1,L23&gt;3,M23&lt;1,M23&gt;2,N23&lt;2,N23&gt;5,P23&lt;3,P23&gt;5),"CHECK","OK")</x:f>
        <x:v>OK</x:v>
      </x:c>
    </x:row>
    <x:row r="24" ht="42" customHeight="1">
      <x:c r="A24" s="27" t="n">
        <x:v>1019</x:v>
      </x:c>
      <x:c r="B24" s="27" t="str">
        <x:v>cocker_spaniel</x:v>
      </x:c>
      <x:c r="C24" s="27" t="str">
        <x:v>Cocker Spaniel</x:v>
      </x:c>
      <x:c r="D24" s="27" t="str">
        <x:v>Common</x:v>
      </x:c>
      <x:c r="E24" s="27" t="str">
        <x:v>Skirmisher</x:v>
      </x:c>
      <x:c r="F24" s="32" t="n">
        <x:v>92</x:v>
      </x:c>
      <x:c r="G24" s="32" t="n">
        <x:v>86</x:v>
      </x:c>
      <x:c r="H24" s="34" t="n">
        <x:v>88</x:v>
      </x:c>
      <x:c r="I24" s="34" t="n">
        <x:v>62</x:v>
      </x:c>
      <x:c r="J24" s="34" t="n">
        <x:v>40</x:v>
      </x:c>
      <x:c r="K24" s="34" t="n">
        <x:v>7</x:v>
      </x:c>
      <x:c r="L24" s="34" t="n">
        <x:v>2</x:v>
      </x:c>
      <x:c r="M24" s="34" t="n">
        <x:v>2</x:v>
      </x:c>
      <x:c r="N24" s="34" t="n">
        <x:v>3</x:v>
      </x:c>
      <x:c r="O24" s="34" t="str">
        <x:v>Brush Runner</x:v>
      </x:c>
      <x:c r="P24" s="34" t="n">
        <x:v>3</x:v>
      </x:c>
      <x:c r="Q24" s="28" t="str">
        <x:v>30 damage and 12 Guard this turn.</x:v>
      </x:c>
      <x:c r="R24" s="28" t="str">
        <x:v>Small hybrid tempo play.</x:v>
      </x:c>
      <x:c r="S24" s="36" t="n">
        <x:f>ROUND(H24*(100+J24)/100,1)</x:f>
        <x:v>123.2</x:v>
      </x:c>
      <x:c r="T24" s="36" t="n">
        <x:f>MAX(1,FLOOR(I24*100/(100+50),1))</x:f>
        <x:v>41</x:v>
      </x:c>
      <x:c r="U24" s="36" t="n">
        <x:f>FLOOR(K24/L24,1)</x:f>
        <x:v>3</x:v>
      </x:c>
      <x:c r="V24" s="27" t="str">
        <x:f>IF(OR(H24&lt;50,H24&gt;150,I24&lt;45,I24&gt;80,J24&lt;20,J24&gt;80,K24&lt;5,K24&gt;8,L24&lt;1,L24&gt;3,M24&lt;1,M24&gt;2,N24&lt;2,N24&gt;5,P24&lt;3,P24&gt;5),"CHECK","OK")</x:f>
        <x:v>OK</x:v>
      </x:c>
    </x:row>
    <x:row r="25" ht="42" customHeight="1">
      <x:c r="A25" s="27" t="n">
        <x:v>1020</x:v>
      </x:c>
      <x:c r="B25" s="27" t="str">
        <x:v>bull_mastiff</x:v>
      </x:c>
      <x:c r="C25" s="27" t="str">
        <x:v>Bullmastiff</x:v>
      </x:c>
      <x:c r="D25" s="27" t="str">
        <x:v>Uncommon</x:v>
      </x:c>
      <x:c r="E25" s="27" t="str">
        <x:v>Guardian</x:v>
      </x:c>
      <x:c r="F25" s="32" t="n">
        <x:v>110</x:v>
      </x:c>
      <x:c r="G25" s="32" t="n">
        <x:v>42</x:v>
      </x:c>
      <x:c r="H25" s="34" t="n">
        <x:v>118</x:v>
      </x:c>
      <x:c r="I25" s="34" t="n">
        <x:v>54</x:v>
      </x:c>
      <x:c r="J25" s="34" t="n">
        <x:v>64</x:v>
      </x:c>
      <x:c r="K25" s="34" t="n">
        <x:v>5</x:v>
      </x:c>
      <x:c r="L25" s="34" t="n">
        <x:v>3</x:v>
      </x:c>
      <x:c r="M25" s="34" t="n">
        <x:v>1</x:v>
      </x:c>
      <x:c r="N25" s="34" t="n">
        <x:v>2</x:v>
      </x:c>
      <x:c r="O25" s="34" t="str">
        <x:v>Body Block</x:v>
      </x:c>
      <x:c r="P25" s="34" t="n">
        <x:v>4</x:v>
      </x:c>
      <x:c r="Q25" s="28" t="str">
        <x:v>Gain DEF + 20 Guard and reflect 10 if struck.</x:v>
      </x:c>
      <x:c r="R25" s="28" t="str">
        <x:v>Roster anchor with slow mana recovery.</x:v>
      </x:c>
      <x:c r="S25" s="36" t="n">
        <x:f>ROUND(H25*(100+J25)/100,1)</x:f>
        <x:v>193.5</x:v>
      </x:c>
      <x:c r="T25" s="36" t="n">
        <x:f>MAX(1,FLOOR(I25*100/(100+50),1))</x:f>
        <x:v>36</x:v>
      </x:c>
      <x:c r="U25" s="36" t="n">
        <x:f>FLOOR(K25/L25,1)</x:f>
        <x:v>1</x:v>
      </x:c>
      <x:c r="V25" s="27" t="str">
        <x:f>IF(OR(H25&lt;50,H25&gt;150,I25&lt;45,I25&gt;80,J25&lt;20,J25&gt;80,K25&lt;5,K25&gt;8,L25&lt;1,L25&gt;3,M25&lt;1,M25&gt;2,N25&lt;2,N25&gt;5,P25&lt;3,P25&gt;5),"CHECK","OK")</x:f>
        <x:v>OK</x:v>
      </x:c>
    </x:row>
    <x:row r="26" ht="42" customHeight="1">
      <x:c r="A26" s="27" t="n">
        <x:v>1021</x:v>
      </x:c>
      <x:c r="B26" s="27" t="str">
        <x:v>siberian_husky</x:v>
      </x:c>
      <x:c r="C26" s="27" t="str">
        <x:v>Siberian Husky</x:v>
      </x:c>
      <x:c r="D26" s="27" t="str">
        <x:v>Common</x:v>
      </x:c>
      <x:c r="E26" s="27" t="str">
        <x:v>Brawler</x:v>
      </x:c>
      <x:c r="F26" s="32" t="n">
        <x:v>104</x:v>
      </x:c>
      <x:c r="G26" s="32" t="n">
        <x:v>70</x:v>
      </x:c>
      <x:c r="H26" s="34" t="n">
        <x:v>90</x:v>
      </x:c>
      <x:c r="I26" s="34" t="n">
        <x:v>58</x:v>
      </x:c>
      <x:c r="J26" s="34" t="n">
        <x:v>38</x:v>
      </x:c>
      <x:c r="K26" s="34" t="n">
        <x:v>6</x:v>
      </x:c>
      <x:c r="L26" s="34" t="n">
        <x:v>2</x:v>
      </x:c>
      <x:c r="M26" s="34" t="n">
        <x:v>2</x:v>
      </x:c>
      <x:c r="N26" s="34" t="n">
        <x:v>3</x:v>
      </x:c>
      <x:c r="O26" s="34" t="str">
        <x:v>Endurance Run</x:v>
      </x:c>
      <x:c r="P26" s="34" t="n">
        <x:v>4</x:v>
      </x:c>
      <x:c r="Q26" s="28" t="str">
        <x:v>Deal 38 damage and restore 1 mana.</x:v>
      </x:c>
      <x:c r="R26" s="28" t="str">
        <x:v>Ramps over longer fights.</x:v>
      </x:c>
      <x:c r="S26" s="36" t="n">
        <x:f>ROUND(H26*(100+J26)/100,1)</x:f>
        <x:v>124.2</x:v>
      </x:c>
      <x:c r="T26" s="36" t="n">
        <x:f>MAX(1,FLOOR(I26*100/(100+50),1))</x:f>
        <x:v>38</x:v>
      </x:c>
      <x:c r="U26" s="36" t="n">
        <x:f>FLOOR(K26/L26,1)</x:f>
        <x:v>3</x:v>
      </x:c>
      <x:c r="V26" s="27" t="str">
        <x:f>IF(OR(H26&lt;50,H26&gt;150,I26&lt;45,I26&gt;80,J26&lt;20,J26&gt;80,K26&lt;5,K26&gt;8,L26&lt;1,L26&gt;3,M26&lt;1,M26&gt;2,N26&lt;2,N26&gt;5,P26&lt;3,P26&gt;5),"CHECK","OK")</x:f>
        <x:v>OK</x:v>
      </x:c>
    </x:row>
    <x:row r="27" ht="42" customHeight="1">
      <x:c r="A27" s="27" t="n">
        <x:v>1022</x:v>
      </x:c>
      <x:c r="B27" s="27" t="str">
        <x:v>pug</x:v>
      </x:c>
      <x:c r="C27" s="27" t="str">
        <x:v>Pug</x:v>
      </x:c>
      <x:c r="D27" s="27" t="str">
        <x:v>Common</x:v>
      </x:c>
      <x:c r="E27" s="27" t="str">
        <x:v>Guardian</x:v>
      </x:c>
      <x:c r="F27" s="32" t="n">
        <x:v>92</x:v>
      </x:c>
      <x:c r="G27" s="32" t="n">
        <x:v>70</x:v>
      </x:c>
      <x:c r="H27" s="34" t="n">
        <x:v>108</x:v>
      </x:c>
      <x:c r="I27" s="34" t="n">
        <x:v>50</x:v>
      </x:c>
      <x:c r="J27" s="34" t="n">
        <x:v>66</x:v>
      </x:c>
      <x:c r="K27" s="34" t="n">
        <x:v>6</x:v>
      </x:c>
      <x:c r="L27" s="34" t="n">
        <x:v>3</x:v>
      </x:c>
      <x:c r="M27" s="34" t="n">
        <x:v>1</x:v>
      </x:c>
      <x:c r="N27" s="34" t="n">
        <x:v>3</x:v>
      </x:c>
      <x:c r="O27" s="34" t="str">
        <x:v>Stubborn Stance</x:v>
      </x:c>
      <x:c r="P27" s="34" t="n">
        <x:v>3</x:v>
      </x:c>
      <x:c r="Q27" s="28" t="str">
        <x:v>Gain DEF Guard and restore 12 HP.</x:v>
      </x:c>
      <x:c r="R27" s="28" t="str">
        <x:v>Efficient survival, limited offense.</x:v>
      </x:c>
      <x:c r="S27" s="36" t="n">
        <x:f>ROUND(H27*(100+J27)/100,1)</x:f>
        <x:v>179.3</x:v>
      </x:c>
      <x:c r="T27" s="36" t="n">
        <x:f>MAX(1,FLOOR(I27*100/(100+50),1))</x:f>
        <x:v>33</x:v>
      </x:c>
      <x:c r="U27" s="36" t="n">
        <x:f>FLOOR(K27/L27,1)</x:f>
        <x:v>2</x:v>
      </x:c>
      <x:c r="V27" s="27" t="str">
        <x:f>IF(OR(H27&lt;50,H27&gt;150,I27&lt;45,I27&gt;80,J27&lt;20,J27&gt;80,K27&lt;5,K27&gt;8,L27&lt;1,L27&gt;3,M27&lt;1,M27&gt;2,N27&lt;2,N27&gt;5,P27&lt;3,P27&gt;5),"CHECK","OK")</x:f>
        <x:v>OK</x:v>
      </x:c>
    </x:row>
    <x:row r="28" ht="42" customHeight="1">
      <x:c r="A28" s="27" t="n">
        <x:v>1023</x:v>
      </x:c>
      <x:c r="B28" s="27" t="str">
        <x:v>samoyed</x:v>
      </x:c>
      <x:c r="C28" s="27" t="str">
        <x:v>Samoyed</x:v>
      </x:c>
      <x:c r="D28" s="27" t="str">
        <x:v>Common</x:v>
      </x:c>
      <x:c r="E28" s="27" t="str">
        <x:v>Support</x:v>
      </x:c>
      <x:c r="F28" s="32" t="n">
        <x:v>102</x:v>
      </x:c>
      <x:c r="G28" s="32" t="n">
        <x:v>56</x:v>
      </x:c>
      <x:c r="H28" s="34" t="n">
        <x:v>98</x:v>
      </x:c>
      <x:c r="I28" s="34" t="n">
        <x:v>54</x:v>
      </x:c>
      <x:c r="J28" s="34" t="n">
        <x:v>48</x:v>
      </x:c>
      <x:c r="K28" s="34" t="n">
        <x:v>6</x:v>
      </x:c>
      <x:c r="L28" s="34" t="n">
        <x:v>2</x:v>
      </x:c>
      <x:c r="M28" s="34" t="n">
        <x:v>2</x:v>
      </x:c>
      <x:c r="N28" s="34" t="n">
        <x:v>3</x:v>
      </x:c>
      <x:c r="O28" s="34" t="str">
        <x:v>Warm Shelter</x:v>
      </x:c>
      <x:c r="P28" s="34" t="n">
        <x:v>4</x:v>
      </x:c>
      <x:c r="Q28" s="28" t="str">
        <x:v>Gain 42 Guard this turn.</x:v>
      </x:c>
      <x:c r="R28" s="28" t="str">
        <x:v>Team-order utility.</x:v>
      </x:c>
      <x:c r="S28" s="36" t="n">
        <x:f>ROUND(H28*(100+J28)/100,1)</x:f>
        <x:v>145</x:v>
      </x:c>
      <x:c r="T28" s="36" t="n">
        <x:f>MAX(1,FLOOR(I28*100/(100+50),1))</x:f>
        <x:v>36</x:v>
      </x:c>
      <x:c r="U28" s="36" t="n">
        <x:f>FLOOR(K28/L28,1)</x:f>
        <x:v>3</x:v>
      </x:c>
      <x:c r="V28" s="27" t="str">
        <x:f>IF(OR(H28&lt;50,H28&gt;150,I28&lt;45,I28&gt;80,J28&lt;20,J28&gt;80,K28&lt;5,K28&gt;8,L28&lt;1,L28&gt;3,M28&lt;1,M28&gt;2,N28&lt;2,N28&gt;5,P28&lt;3,P28&gt;5),"CHECK","OK")</x:f>
        <x:v>OK</x:v>
      </x:c>
    </x:row>
    <x:row r="29" ht="42" customHeight="1">
      <x:c r="A29" s="27" t="n">
        <x:v>1024</x:v>
      </x:c>
      <x:c r="B29" s="27" t="str">
        <x:v>pembroke_corgi</x:v>
      </x:c>
      <x:c r="C29" s="27" t="str">
        <x:v>Pembroke Welsh Corgi</x:v>
      </x:c>
      <x:c r="D29" s="27" t="str">
        <x:v>Common</x:v>
      </x:c>
      <x:c r="E29" s="27" t="str">
        <x:v>Controller</x:v>
      </x:c>
      <x:c r="F29" s="32" t="n">
        <x:v>86</x:v>
      </x:c>
      <x:c r="G29" s="32" t="n">
        <x:v>88</x:v>
      </x:c>
      <x:c r="H29" s="34" t="n">
        <x:v>88</x:v>
      </x:c>
      <x:c r="I29" s="34" t="n">
        <x:v>63</x:v>
      </x:c>
      <x:c r="J29" s="34" t="n">
        <x:v>42</x:v>
      </x:c>
      <x:c r="K29" s="34" t="n">
        <x:v>7</x:v>
      </x:c>
      <x:c r="L29" s="34" t="n">
        <x:v>2</x:v>
      </x:c>
      <x:c r="M29" s="34" t="n">
        <x:v>2</x:v>
      </x:c>
      <x:c r="N29" s="34" t="n">
        <x:v>3</x:v>
      </x:c>
      <x:c r="O29" s="34" t="str">
        <x:v>Herding Nip</x:v>
      </x:c>
      <x:c r="P29" s="34" t="n">
        <x:v>3</x:v>
      </x:c>
      <x:c r="Q29" s="28" t="str">
        <x:v>Deal 31 direct damage.</x:v>
      </x:c>
      <x:c r="R29" s="28" t="str">
        <x:v>Mana-tax disruption.</x:v>
      </x:c>
      <x:c r="S29" s="36" t="n">
        <x:f>ROUND(H29*(100+J29)/100,1)</x:f>
        <x:v>125</x:v>
      </x:c>
      <x:c r="T29" s="36" t="n">
        <x:f>MAX(1,FLOOR(I29*100/(100+50),1))</x:f>
        <x:v>42</x:v>
      </x:c>
      <x:c r="U29" s="36" t="n">
        <x:f>FLOOR(K29/L29,1)</x:f>
        <x:v>3</x:v>
      </x:c>
      <x:c r="V29" s="27" t="str">
        <x:f>IF(OR(H29&lt;50,H29&gt;150,I29&lt;45,I29&gt;80,J29&lt;20,J29&gt;80,K29&lt;5,K29&gt;8,L29&lt;1,L29&gt;3,M29&lt;1,M29&gt;2,N29&lt;2,N29&gt;5,P29&lt;3,P29&gt;5),"CHECK","OK")</x:f>
        <x:v>OK</x:v>
      </x:c>
    </x:row>
    <x:row r="30" ht="42" customHeight="1">
      <x:c r="A30" s="27" t="n">
        <x:v>1025</x:v>
      </x:c>
      <x:c r="B30" s="27" t="str">
        <x:v>siamese_cat</x:v>
      </x:c>
      <x:c r="C30" s="27" t="str">
        <x:v>Siamese Cat</x:v>
      </x:c>
      <x:c r="D30" s="27" t="str">
        <x:v>Common</x:v>
      </x:c>
      <x:c r="E30" s="27" t="str">
        <x:v>Striker</x:v>
      </x:c>
      <x:c r="F30" s="32" t="n">
        <x:v>88</x:v>
      </x:c>
      <x:c r="G30" s="32" t="n">
        <x:v>90</x:v>
      </x:c>
      <x:c r="H30" s="34" t="n">
        <x:v>80</x:v>
      </x:c>
      <x:c r="I30" s="34" t="n">
        <x:v>73</x:v>
      </x:c>
      <x:c r="J30" s="34" t="n">
        <x:v>32</x:v>
      </x:c>
      <x:c r="K30" s="34" t="n">
        <x:v>6</x:v>
      </x:c>
      <x:c r="L30" s="34" t="n">
        <x:v>2</x:v>
      </x:c>
      <x:c r="M30" s="34" t="n">
        <x:v>2</x:v>
      </x:c>
      <x:c r="N30" s="34" t="n">
        <x:v>3</x:v>
      </x:c>
      <x:c r="O30" s="34" t="str">
        <x:v>Focused Pounce</x:v>
      </x:c>
      <x:c r="P30" s="34" t="n">
        <x:v>4</x:v>
      </x:c>
      <x:c r="Q30" s="28" t="str">
        <x:v>48 damage, plus 10 when cast from full mana.</x:v>
      </x:c>
      <x:c r="R30" s="28" t="str">
        <x:v>Rewards resource setup.</x:v>
      </x:c>
      <x:c r="S30" s="36" t="n">
        <x:f>ROUND(H30*(100+J30)/100,1)</x:f>
        <x:v>105.6</x:v>
      </x:c>
      <x:c r="T30" s="36" t="n">
        <x:f>MAX(1,FLOOR(I30*100/(100+50),1))</x:f>
        <x:v>48</x:v>
      </x:c>
      <x:c r="U30" s="36" t="n">
        <x:f>FLOOR(K30/L30,1)</x:f>
        <x:v>3</x:v>
      </x:c>
      <x:c r="V30" s="27" t="str">
        <x:f>IF(OR(H30&lt;50,H30&gt;150,I30&lt;45,I30&gt;80,J30&lt;20,J30&gt;80,K30&lt;5,K30&gt;8,L30&lt;1,L30&gt;3,M30&lt;1,M30&gt;2,N30&lt;2,N30&gt;5,P30&lt;3,P30&gt;5),"CHECK","OK")</x:f>
        <x:v>OK</x:v>
      </x:c>
    </x:row>
    <x:row r="31" ht="42" customHeight="1">
      <x:c r="A31" s="27" t="n">
        <x:v>1026</x:v>
      </x:c>
      <x:c r="B31" s="27" t="str">
        <x:v>egyptian_cat</x:v>
      </x:c>
      <x:c r="C31" s="27" t="str">
        <x:v>Domestic Shorthair</x:v>
      </x:c>
      <x:c r="D31" s="27" t="str">
        <x:v>Common</x:v>
      </x:c>
      <x:c r="E31" s="27" t="str">
        <x:v>Balanced</x:v>
      </x:c>
      <x:c r="F31" s="32" t="n">
        <x:v>90</x:v>
      </x:c>
      <x:c r="G31" s="32" t="n">
        <x:v>82</x:v>
      </x:c>
      <x:c r="H31" s="34" t="n">
        <x:v>86</x:v>
      </x:c>
      <x:c r="I31" s="34" t="n">
        <x:v>58</x:v>
      </x:c>
      <x:c r="J31" s="34" t="n">
        <x:v>40</x:v>
      </x:c>
      <x:c r="K31" s="34" t="n">
        <x:v>7</x:v>
      </x:c>
      <x:c r="L31" s="34" t="n">
        <x:v>2</x:v>
      </x:c>
      <x:c r="M31" s="34" t="n">
        <x:v>2</x:v>
      </x:c>
      <x:c r="N31" s="34" t="n">
        <x:v>3</x:v>
      </x:c>
      <x:c r="O31" s="34" t="str">
        <x:v>Street Instinct</x:v>
      </x:c>
      <x:c r="P31" s="34" t="n">
        <x:v>3</x:v>
      </x:c>
      <x:c r="Q31" s="28" t="str">
        <x:v>Deal 30 damage and gain 40 Guard.</x:v>
      </x:c>
      <x:c r="R31" s="28" t="str">
        <x:v>Flexible but moderate output.</x:v>
      </x:c>
      <x:c r="S31" s="36" t="n">
        <x:f>ROUND(H31*(100+J31)/100,1)</x:f>
        <x:v>120.4</x:v>
      </x:c>
      <x:c r="T31" s="36" t="n">
        <x:f>MAX(1,FLOOR(I31*100/(100+50),1))</x:f>
        <x:v>38</x:v>
      </x:c>
      <x:c r="U31" s="36" t="n">
        <x:f>FLOOR(K31/L31,1)</x:f>
        <x:v>3</x:v>
      </x:c>
      <x:c r="V31" s="27" t="str">
        <x:f>IF(OR(H31&lt;50,H31&gt;150,I31&lt;45,I31&gt;80,J31&lt;20,J31&gt;80,K31&lt;5,K31&gt;8,L31&lt;1,L31&gt;3,M31&lt;1,M31&gt;2,N31&lt;2,N31&gt;5,P31&lt;3,P31&gt;5),"CHECK","OK")</x:f>
        <x:v>OK</x:v>
      </x:c>
    </x:row>
    <x:row r="32" ht="42" customHeight="1">
      <x:c r="A32" s="27" t="n">
        <x:v>1027</x:v>
      </x:c>
      <x:c r="B32" s="27" t="str">
        <x:v>bee</x:v>
      </x:c>
      <x:c r="C32" s="27" t="str">
        <x:v>Honey Bee</x:v>
      </x:c>
      <x:c r="D32" s="27" t="str">
        <x:v>Common</x:v>
      </x:c>
      <x:c r="E32" s="27" t="str">
        <x:v>Striker</x:v>
      </x:c>
      <x:c r="F32" s="32" t="n">
        <x:v>68</x:v>
      </x:c>
      <x:c r="G32" s="32" t="n">
        <x:v>96</x:v>
      </x:c>
      <x:c r="H32" s="34" t="n">
        <x:v>70</x:v>
      </x:c>
      <x:c r="I32" s="34" t="n">
        <x:v>70</x:v>
      </x:c>
      <x:c r="J32" s="34" t="n">
        <x:v>26</x:v>
      </x:c>
      <x:c r="K32" s="34" t="n">
        <x:v>7</x:v>
      </x:c>
      <x:c r="L32" s="34" t="n">
        <x:v>1</x:v>
      </x:c>
      <x:c r="M32" s="34" t="n">
        <x:v>2</x:v>
      </x:c>
      <x:c r="N32" s="34" t="n">
        <x:v>4</x:v>
      </x:c>
      <x:c r="O32" s="34" t="str">
        <x:v>Barbed Sting</x:v>
      </x:c>
      <x:c r="P32" s="34" t="n">
        <x:v>4</x:v>
      </x:c>
      <x:c r="Q32" s="28" t="str">
        <x:v>52 damage and take 12 recoil damage.</x:v>
      </x:c>
      <x:c r="R32" s="28" t="str">
        <x:v>Very fragile burst threat.</x:v>
      </x:c>
      <x:c r="S32" s="36" t="n">
        <x:f>ROUND(H32*(100+J32)/100,1)</x:f>
        <x:v>88.2</x:v>
      </x:c>
      <x:c r="T32" s="36" t="n">
        <x:f>MAX(1,FLOOR(I32*100/(100+50),1))</x:f>
        <x:v>46</x:v>
      </x:c>
      <x:c r="U32" s="36" t="n">
        <x:f>FLOOR(K32/L32,1)</x:f>
        <x:v>7</x:v>
      </x:c>
      <x:c r="V32" s="27" t="str">
        <x:f>IF(OR(H32&lt;50,H32&gt;150,I32&lt;45,I32&gt;80,J32&lt;20,J32&gt;80,K32&lt;5,K32&gt;8,L32&lt;1,L32&gt;3,M32&lt;1,M32&gt;2,N32&lt;2,N32&gt;5,P32&lt;3,P32&gt;5),"CHECK","OK")</x:f>
        <x:v>OK</x:v>
      </x:c>
    </x:row>
    <x:row r="33" ht="42" customHeight="1">
      <x:c r="A33" s="27" t="n">
        <x:v>1028</x:v>
      </x:c>
      <x:c r="B33" s="27" t="str">
        <x:v>ant</x:v>
      </x:c>
      <x:c r="C33" s="27" t="str">
        <x:v>Ant</x:v>
      </x:c>
      <x:c r="D33" s="27" t="str">
        <x:v>Common</x:v>
      </x:c>
      <x:c r="E33" s="27" t="str">
        <x:v>Energizer</x:v>
      </x:c>
      <x:c r="F33" s="32" t="n">
        <x:v>64</x:v>
      </x:c>
      <x:c r="G33" s="32" t="n">
        <x:v>98</x:v>
      </x:c>
      <x:c r="H33" s="34" t="n">
        <x:v>72</x:v>
      </x:c>
      <x:c r="I33" s="34" t="n">
        <x:v>62</x:v>
      </x:c>
      <x:c r="J33" s="34" t="n">
        <x:v>22</x:v>
      </x:c>
      <x:c r="K33" s="34" t="n">
        <x:v>8</x:v>
      </x:c>
      <x:c r="L33" s="34" t="n">
        <x:v>1</x:v>
      </x:c>
      <x:c r="M33" s="34" t="n">
        <x:v>1</x:v>
      </x:c>
      <x:c r="N33" s="34" t="n">
        <x:v>5</x:v>
      </x:c>
      <x:c r="O33" s="34" t="str">
        <x:v>Colony Rush</x:v>
      </x:c>
      <x:c r="P33" s="34" t="n">
        <x:v>3</x:v>
      </x:c>
      <x:c r="Q33" s="28" t="str">
        <x:v>Deal 24 damage twice; Guard applies to each hit.</x:v>
      </x:c>
      <x:c r="R33" s="28" t="str">
        <x:v>Very low HP and DEF; cheapest actions and best Recharge.</x:v>
      </x:c>
      <x:c r="S33" s="36" t="n">
        <x:f>ROUND(H33*(100+J33)/100,1)</x:f>
        <x:v>87.8</x:v>
      </x:c>
      <x:c r="T33" s="36" t="n">
        <x:f>MAX(1,FLOOR(I33*100/(100+50),1))</x:f>
        <x:v>41</x:v>
      </x:c>
      <x:c r="U33" s="36" t="n">
        <x:f>FLOOR(K33/L33,1)</x:f>
        <x:v>8</x:v>
      </x:c>
      <x:c r="V33" s="27" t="str">
        <x:f>IF(OR(H33&lt;50,H33&gt;150,I33&lt;45,I33&gt;80,J33&lt;20,J33&gt;80,K33&lt;5,K33&gt;8,L33&lt;1,L33&gt;3,M33&lt;1,M33&gt;2,N33&lt;2,N33&gt;5,P33&lt;3,P33&gt;5),"CHECK","OK")</x:f>
        <x:v>OK</x:v>
      </x:c>
    </x:row>
    <x:row r="34" ht="42" customHeight="1">
      <x:c r="A34" s="27" t="n">
        <x:v>1029</x:v>
      </x:c>
      <x:c r="B34" s="27" t="str">
        <x:v>dragonfly</x:v>
      </x:c>
      <x:c r="C34" s="27" t="str">
        <x:v>Dragonfly</x:v>
      </x:c>
      <x:c r="D34" s="27" t="str">
        <x:v>Common</x:v>
      </x:c>
      <x:c r="E34" s="27" t="str">
        <x:v>Striker</x:v>
      </x:c>
      <x:c r="F34" s="32" t="n">
        <x:v>72</x:v>
      </x:c>
      <x:c r="G34" s="32" t="n">
        <x:v>100</x:v>
      </x:c>
      <x:c r="H34" s="34" t="n">
        <x:v>76</x:v>
      </x:c>
      <x:c r="I34" s="34" t="n">
        <x:v>74</x:v>
      </x:c>
      <x:c r="J34" s="34" t="n">
        <x:v>28</x:v>
      </x:c>
      <x:c r="K34" s="34" t="n">
        <x:v>7</x:v>
      </x:c>
      <x:c r="L34" s="34" t="n">
        <x:v>2</x:v>
      </x:c>
      <x:c r="M34" s="34" t="n">
        <x:v>2</x:v>
      </x:c>
      <x:c r="N34" s="34" t="n">
        <x:v>4</x:v>
      </x:c>
      <x:c r="O34" s="34" t="str">
        <x:v>Aerial Ambush</x:v>
      </x:c>
      <x:c r="P34" s="34" t="n">
        <x:v>4</x:v>
      </x:c>
      <x:c r="Q34" s="28" t="str">
        <x:v>46 damage, plus 8 against Recharge.</x:v>
      </x:c>
      <x:c r="R34" s="28" t="str">
        <x:v>Fragile recharge hunter.</x:v>
      </x:c>
      <x:c r="S34" s="36" t="n">
        <x:f>ROUND(H34*(100+J34)/100,1)</x:f>
        <x:v>97.3</x:v>
      </x:c>
      <x:c r="T34" s="36" t="n">
        <x:f>MAX(1,FLOOR(I34*100/(100+50),1))</x:f>
        <x:v>49</x:v>
      </x:c>
      <x:c r="U34" s="36" t="n">
        <x:f>FLOOR(K34/L34,1)</x:f>
        <x:v>3</x:v>
      </x:c>
      <x:c r="V34" s="27" t="str">
        <x:f>IF(OR(H34&lt;50,H34&gt;150,I34&lt;45,I34&gt;80,J34&lt;20,J34&gt;80,K34&lt;5,K34&gt;8,L34&lt;1,L34&gt;3,M34&lt;1,M34&gt;2,N34&lt;2,N34&gt;5,P34&lt;3,P34&gt;5),"CHECK","OK")</x:f>
        <x:v>OK</x:v>
      </x:c>
    </x:row>
    <x:row r="35" ht="42" customHeight="1">
      <x:c r="A35" s="27" t="n">
        <x:v>1030</x:v>
      </x:c>
      <x:c r="B35" s="27" t="str">
        <x:v>damselfly</x:v>
      </x:c>
      <x:c r="C35" s="27" t="str">
        <x:v>Damselfly</x:v>
      </x:c>
      <x:c r="D35" s="27" t="str">
        <x:v>Common</x:v>
      </x:c>
      <x:c r="E35" s="27" t="str">
        <x:v>Skirmisher</x:v>
      </x:c>
      <x:c r="F35" s="32" t="n">
        <x:v>66</x:v>
      </x:c>
      <x:c r="G35" s="32" t="n">
        <x:v>102</x:v>
      </x:c>
      <x:c r="H35" s="34" t="n">
        <x:v>72</x:v>
      </x:c>
      <x:c r="I35" s="34" t="n">
        <x:v>62</x:v>
      </x:c>
      <x:c r="J35" s="34" t="n">
        <x:v>34</x:v>
      </x:c>
      <x:c r="K35" s="34" t="n">
        <x:v>8</x:v>
      </x:c>
      <x:c r="L35" s="34" t="n">
        <x:v>1</x:v>
      </x:c>
      <x:c r="M35" s="34" t="n">
        <x:v>2</x:v>
      </x:c>
      <x:c r="N35" s="34" t="n">
        <x:v>4</x:v>
      </x:c>
      <x:c r="O35" s="34" t="str">
        <x:v>Slipstream</x:v>
      </x:c>
      <x:c r="P35" s="34" t="n">
        <x:v>3</x:v>
      </x:c>
      <x:c r="Q35" s="28" t="str">
        <x:v>Reduce Strike damage by 40%; regain 1 if struck.</x:v>
      </x:c>
      <x:c r="R35" s="28" t="str">
        <x:v>Defense through timing.</x:v>
      </x:c>
      <x:c r="S35" s="36" t="n">
        <x:f>ROUND(H35*(100+J35)/100,1)</x:f>
        <x:v>96.5</x:v>
      </x:c>
      <x:c r="T35" s="36" t="n">
        <x:f>MAX(1,FLOOR(I35*100/(100+50),1))</x:f>
        <x:v>41</x:v>
      </x:c>
      <x:c r="U35" s="36" t="n">
        <x:f>FLOOR(K35/L35,1)</x:f>
        <x:v>8</x:v>
      </x:c>
      <x:c r="V35" s="27" t="str">
        <x:f>IF(OR(H35&lt;50,H35&gt;150,I35&lt;45,I35&gt;80,J35&lt;20,J35&gt;80,K35&lt;5,K35&gt;8,L35&lt;1,L35&gt;3,M35&lt;1,M35&gt;2,N35&lt;2,N35&gt;5,P35&lt;3,P35&gt;5),"CHECK","OK")</x:f>
        <x:v>OK</x:v>
      </x:c>
    </x:row>
    <x:row r="36" ht="42" customHeight="1">
      <x:c r="A36" s="27" t="n">
        <x:v>1031</x:v>
      </x:c>
      <x:c r="B36" s="27" t="str">
        <x:v>ringlet_butterfly</x:v>
      </x:c>
      <x:c r="C36" s="27" t="str">
        <x:v>Ringlet Butterfly</x:v>
      </x:c>
      <x:c r="D36" s="27" t="str">
        <x:v>Common</x:v>
      </x:c>
      <x:c r="E36" s="27" t="str">
        <x:v>Controller</x:v>
      </x:c>
      <x:c r="F36" s="32" t="n">
        <x:v>74</x:v>
      </x:c>
      <x:c r="G36" s="32" t="n">
        <x:v>92</x:v>
      </x:c>
      <x:c r="H36" s="34" t="n">
        <x:v>80</x:v>
      </x:c>
      <x:c r="I36" s="34" t="n">
        <x:v>58</x:v>
      </x:c>
      <x:c r="J36" s="34" t="n">
        <x:v>36</x:v>
      </x:c>
      <x:c r="K36" s="34" t="n">
        <x:v>8</x:v>
      </x:c>
      <x:c r="L36" s="34" t="n">
        <x:v>2</x:v>
      </x:c>
      <x:c r="M36" s="34" t="n">
        <x:v>1</x:v>
      </x:c>
      <x:c r="N36" s="34" t="n">
        <x:v>4</x:v>
      </x:c>
      <x:c r="O36" s="34" t="str">
        <x:v>False Eyes</x:v>
      </x:c>
      <x:c r="P36" s="34" t="n">
        <x:v>3</x:v>
      </x:c>
      <x:c r="Q36" s="28" t="str">
        <x:v>Halve incoming damage by spending up to 2 mana.</x:v>
      </x:c>
      <x:c r="R36" s="28" t="str">
        <x:v>Trades resource for survival.</x:v>
      </x:c>
      <x:c r="S36" s="36" t="n">
        <x:f>ROUND(H36*(100+J36)/100,1)</x:f>
        <x:v>108.8</x:v>
      </x:c>
      <x:c r="T36" s="36" t="n">
        <x:f>MAX(1,FLOOR(I36*100/(100+50),1))</x:f>
        <x:v>38</x:v>
      </x:c>
      <x:c r="U36" s="36" t="n">
        <x:f>FLOOR(K36/L36,1)</x:f>
        <x:v>4</x:v>
      </x:c>
      <x:c r="V36" s="27" t="str">
        <x:f>IF(OR(H36&lt;50,H36&gt;150,I36&lt;45,I36&gt;80,J36&lt;20,J36&gt;80,K36&lt;5,K36&gt;8,L36&lt;1,L36&gt;3,M36&lt;1,M36&gt;2,N36&lt;2,N36&gt;5,P36&lt;3,P36&gt;5),"CHECK","OK")</x:f>
        <x:v>OK</x:v>
      </x:c>
    </x:row>
    <x:row r="37" ht="42" customHeight="1">
      <x:c r="A37" s="27" t="n">
        <x:v>1032</x:v>
      </x:c>
      <x:c r="B37" s="27" t="str">
        <x:v>cabbage_butterfly</x:v>
      </x:c>
      <x:c r="C37" s="27" t="str">
        <x:v>Cabbage Butterfly</x:v>
      </x:c>
      <x:c r="D37" s="27" t="str">
        <x:v>Common</x:v>
      </x:c>
      <x:c r="E37" s="27" t="str">
        <x:v>Support</x:v>
      </x:c>
      <x:c r="F37" s="32" t="n">
        <x:v>76</x:v>
      </x:c>
      <x:c r="G37" s="32" t="n">
        <x:v>88</x:v>
      </x:c>
      <x:c r="H37" s="34" t="n">
        <x:v>76</x:v>
      </x:c>
      <x:c r="I37" s="34" t="n">
        <x:v>56</x:v>
      </x:c>
      <x:c r="J37" s="34" t="n">
        <x:v>38</x:v>
      </x:c>
      <x:c r="K37" s="34" t="n">
        <x:v>8</x:v>
      </x:c>
      <x:c r="L37" s="34" t="n">
        <x:v>2</x:v>
      </x:c>
      <x:c r="M37" s="34" t="n">
        <x:v>1</x:v>
      </x:c>
      <x:c r="N37" s="34" t="n">
        <x:v>4</x:v>
      </x:c>
      <x:c r="O37" s="34" t="str">
        <x:v>Garden Drift</x:v>
      </x:c>
      <x:c r="P37" s="34" t="n">
        <x:v>3</x:v>
      </x:c>
      <x:c r="Q37" s="28" t="str">
        <x:v>Gain 34 Guard and 1 mana against Recharge.</x:v>
      </x:c>
      <x:c r="R37" s="28" t="str">
        <x:v>Light body with economy reads.</x:v>
      </x:c>
      <x:c r="S37" s="36" t="n">
        <x:f>ROUND(H37*(100+J37)/100,1)</x:f>
        <x:v>104.9</x:v>
      </x:c>
      <x:c r="T37" s="36" t="n">
        <x:f>MAX(1,FLOOR(I37*100/(100+50),1))</x:f>
        <x:v>37</x:v>
      </x:c>
      <x:c r="U37" s="36" t="n">
        <x:f>FLOOR(K37/L37,1)</x:f>
        <x:v>4</x:v>
      </x:c>
      <x:c r="V37" s="27" t="str">
        <x:f>IF(OR(H37&lt;50,H37&gt;150,I37&lt;45,I37&gt;80,J37&lt;20,J37&gt;80,K37&lt;5,K37&gt;8,L37&lt;1,L37&gt;3,M37&lt;1,M37&gt;2,N37&lt;2,N37&gt;5,P37&lt;3,P37&gt;5),"CHECK","OK")</x:f>
        <x:v>OK</x:v>
      </x:c>
    </x:row>
    <x:row r="38" ht="42" customHeight="1">
      <x:c r="A38" s="27" t="n">
        <x:v>1033</x:v>
      </x:c>
      <x:c r="B38" s="27" t="str">
        <x:v>angora_rabbit</x:v>
      </x:c>
      <x:c r="C38" s="27" t="str">
        <x:v>Angora Rabbit</x:v>
      </x:c>
      <x:c r="D38" s="27" t="str">
        <x:v>Uncommon</x:v>
      </x:c>
      <x:c r="E38" s="27" t="str">
        <x:v>Guardian</x:v>
      </x:c>
      <x:c r="F38" s="32" t="n">
        <x:v>84</x:v>
      </x:c>
      <x:c r="G38" s="32" t="n">
        <x:v>78</x:v>
      </x:c>
      <x:c r="H38" s="34" t="n">
        <x:v>100</x:v>
      </x:c>
      <x:c r="I38" s="34" t="n">
        <x:v>50</x:v>
      </x:c>
      <x:c r="J38" s="34" t="n">
        <x:v>68</x:v>
      </x:c>
      <x:c r="K38" s="34" t="n">
        <x:v>6</x:v>
      </x:c>
      <x:c r="L38" s="34" t="n">
        <x:v>3</x:v>
      </x:c>
      <x:c r="M38" s="34" t="n">
        <x:v>1</x:v>
      </x:c>
      <x:c r="N38" s="34" t="n">
        <x:v>3</x:v>
      </x:c>
      <x:c r="O38" s="34" t="str">
        <x:v>Wool Barrier</x:v>
      </x:c>
      <x:c r="P38" s="34" t="n">
        <x:v>4</x:v>
      </x:c>
      <x:c r="Q38" s="28" t="str">
        <x:v>Gain DEF + 18 Guard this turn.</x:v>
      </x:c>
      <x:c r="R38" s="28" t="str">
        <x:v>Strong ability defense, modest damage.</x:v>
      </x:c>
      <x:c r="S38" s="36" t="n">
        <x:f>ROUND(H38*(100+J38)/100,1)</x:f>
        <x:v>168</x:v>
      </x:c>
      <x:c r="T38" s="36" t="n">
        <x:f>MAX(1,FLOOR(I38*100/(100+50),1))</x:f>
        <x:v>33</x:v>
      </x:c>
      <x:c r="U38" s="36" t="n">
        <x:f>FLOOR(K38/L38,1)</x:f>
        <x:v>2</x:v>
      </x:c>
      <x:c r="V38" s="27" t="str">
        <x:f>IF(OR(H38&lt;50,H38&gt;150,I38&lt;45,I38&gt;80,J38&lt;20,J38&gt;80,K38&lt;5,K38&gt;8,L38&lt;1,L38&gt;3,M38&lt;1,M38&gt;2,N38&lt;2,N38&gt;5,P38&lt;3,P38&gt;5),"CHECK","OK")</x:f>
        <x:v>OK</x:v>
      </x:c>
    </x:row>
    <x:row r="39" ht="42" customHeight="1">
      <x:c r="A39" s="27" t="n">
        <x:v>1034</x:v>
      </x:c>
      <x:c r="B39" s="27" t="str">
        <x:v>hamster</x:v>
      </x:c>
      <x:c r="C39" s="27" t="str">
        <x:v>Hamster</x:v>
      </x:c>
      <x:c r="D39" s="27" t="str">
        <x:v>Common</x:v>
      </x:c>
      <x:c r="E39" s="27" t="str">
        <x:v>Energizer</x:v>
      </x:c>
      <x:c r="F39" s="32" t="n">
        <x:v>76</x:v>
      </x:c>
      <x:c r="G39" s="32" t="n">
        <x:v>84</x:v>
      </x:c>
      <x:c r="H39" s="34" t="n">
        <x:v>80</x:v>
      </x:c>
      <x:c r="I39" s="34" t="n">
        <x:v>58</x:v>
      </x:c>
      <x:c r="J39" s="34" t="n">
        <x:v>36</x:v>
      </x:c>
      <x:c r="K39" s="34" t="n">
        <x:v>8</x:v>
      </x:c>
      <x:c r="L39" s="34" t="n">
        <x:v>1</x:v>
      </x:c>
      <x:c r="M39" s="34" t="n">
        <x:v>1</x:v>
      </x:c>
      <x:c r="N39" s="34" t="n">
        <x:v>4</x:v>
      </x:c>
      <x:c r="O39" s="34" t="str">
        <x:v>Cheek Pouch</x:v>
      </x:c>
      <x:c r="P39" s="34" t="n">
        <x:v>3</x:v>
      </x:c>
      <x:c r="Q39" s="28" t="str">
        <x:v>Restore 6 mana, capped at maximum.</x:v>
      </x:c>
      <x:c r="R39" s="28" t="str">
        <x:v>Cheap actions and delayed battery.</x:v>
      </x:c>
      <x:c r="S39" s="36" t="n">
        <x:f>ROUND(H39*(100+J39)/100,1)</x:f>
        <x:v>108.8</x:v>
      </x:c>
      <x:c r="T39" s="36" t="n">
        <x:f>MAX(1,FLOOR(I39*100/(100+50),1))</x:f>
        <x:v>38</x:v>
      </x:c>
      <x:c r="U39" s="36" t="n">
        <x:f>FLOOR(K39/L39,1)</x:f>
        <x:v>8</x:v>
      </x:c>
      <x:c r="V39" s="27" t="str">
        <x:f>IF(OR(H39&lt;50,H39&gt;150,I39&lt;45,I39&gt;80,J39&lt;20,J39&gt;80,K39&lt;5,K39&gt;8,L39&lt;1,L39&gt;3,M39&lt;1,M39&gt;2,N39&lt;2,N39&gt;5,P39&lt;3,P39&gt;5),"CHECK","OK")</x:f>
        <x:v>OK</x:v>
      </x:c>
    </x:row>
    <x:row r="40" ht="42" customHeight="1">
      <x:c r="A40" s="27" t="n">
        <x:v>1035</x:v>
      </x:c>
      <x:c r="B40" s="27" t="str">
        <x:v>pig</x:v>
      </x:c>
      <x:c r="C40" s="27" t="str">
        <x:v>Domestic Pig</x:v>
      </x:c>
      <x:c r="D40" s="27" t="str">
        <x:v>Common</x:v>
      </x:c>
      <x:c r="E40" s="27" t="str">
        <x:v>Brawler</x:v>
      </x:c>
      <x:c r="F40" s="32" t="n">
        <x:v>108</x:v>
      </x:c>
      <x:c r="G40" s="32" t="n">
        <x:v>48</x:v>
      </x:c>
      <x:c r="H40" s="34" t="n">
        <x:v>105</x:v>
      </x:c>
      <x:c r="I40" s="34" t="n">
        <x:v>62</x:v>
      </x:c>
      <x:c r="J40" s="34" t="n">
        <x:v>46</x:v>
      </x:c>
      <x:c r="K40" s="34" t="n">
        <x:v>5</x:v>
      </x:c>
      <x:c r="L40" s="34" t="n">
        <x:v>3</x:v>
      </x:c>
      <x:c r="M40" s="34" t="n">
        <x:v>2</x:v>
      </x:c>
      <x:c r="N40" s="34" t="n">
        <x:v>3</x:v>
      </x:c>
      <x:c r="O40" s="34" t="str">
        <x:v>Truffle Charge</x:v>
      </x:c>
      <x:c r="P40" s="34" t="n">
        <x:v>4</x:v>
      </x:c>
      <x:c r="Q40" s="28" t="str">
        <x:v>48 damage and 10 Guard this turn.</x:v>
      </x:c>
      <x:c r="R40" s="28" t="str">
        <x:v>High body and pressure; expensive basic Strike.</x:v>
      </x:c>
      <x:c r="S40" s="36" t="n">
        <x:f>ROUND(H40*(100+J40)/100,1)</x:f>
        <x:v>153.3</x:v>
      </x:c>
      <x:c r="T40" s="36" t="n">
        <x:f>MAX(1,FLOOR(I40*100/(100+50),1))</x:f>
        <x:v>41</x:v>
      </x:c>
      <x:c r="U40" s="36" t="n">
        <x:f>FLOOR(K40/L40,1)</x:f>
        <x:v>1</x:v>
      </x:c>
      <x:c r="V40" s="27" t="str">
        <x:f>IF(OR(H40&lt;50,H40&gt;150,I40&lt;45,I40&gt;80,J40&lt;20,J40&gt;80,K40&lt;5,K40&gt;8,L40&lt;1,L40&gt;3,M40&lt;1,M40&gt;2,N40&lt;2,N40&gt;5,P40&lt;3,P40&gt;5),"CHECK","OK")</x:f>
        <x:v>OK</x:v>
      </x:c>
    </x:row>
    <x:row r="41" ht="42" customHeight="1">
      <x:c r="A41" s="27" t="n">
        <x:v>1036</x:v>
      </x:c>
      <x:c r="B41" s="27" t="str">
        <x:v>water_buffalo</x:v>
      </x:c>
      <x:c r="C41" s="27" t="str">
        <x:v>Water Buffalo</x:v>
      </x:c>
      <x:c r="D41" s="27" t="str">
        <x:v>Common</x:v>
      </x:c>
      <x:c r="E41" s="27" t="str">
        <x:v>Guardian</x:v>
      </x:c>
      <x:c r="F41" s="32" t="n">
        <x:v>104</x:v>
      </x:c>
      <x:c r="G41" s="32" t="n">
        <x:v>40</x:v>
      </x:c>
      <x:c r="H41" s="34" t="n">
        <x:v>115</x:v>
      </x:c>
      <x:c r="I41" s="34" t="n">
        <x:v>52</x:v>
      </x:c>
      <x:c r="J41" s="34" t="n">
        <x:v>60</x:v>
      </x:c>
      <x:c r="K41" s="34" t="n">
        <x:v>5</x:v>
      </x:c>
      <x:c r="L41" s="34" t="n">
        <x:v>3</x:v>
      </x:c>
      <x:c r="M41" s="34" t="n">
        <x:v>1</x:v>
      </x:c>
      <x:c r="N41" s="34" t="n">
        <x:v>2</x:v>
      </x:c>
      <x:c r="O41" s="34" t="str">
        <x:v>Ricefield Rampart</x:v>
      </x:c>
      <x:c r="P41" s="34" t="n">
        <x:v>5</x:v>
      </x:c>
      <x:c r="Q41" s="28" t="str">
        <x:v>Gain 100 Guard, then take 8 recoil damage.</x:v>
      </x:c>
      <x:c r="R41" s="28" t="str">
        <x:v>Highest durability, slowest economy.</x:v>
      </x:c>
      <x:c r="S41" s="36" t="n">
        <x:f>ROUND(H41*(100+J41)/100,1)</x:f>
        <x:v>184</x:v>
      </x:c>
      <x:c r="T41" s="36" t="n">
        <x:f>MAX(1,FLOOR(I41*100/(100+50),1))</x:f>
        <x:v>34</x:v>
      </x:c>
      <x:c r="U41" s="36" t="n">
        <x:f>FLOOR(K41/L41,1)</x:f>
        <x:v>1</x:v>
      </x:c>
      <x:c r="V41" s="27" t="str">
        <x:f>IF(OR(H41&lt;50,H41&gt;150,I41&lt;45,I41&gt;80,J41&lt;20,J41&gt;80,K41&lt;5,K41&gt;8,L41&lt;1,L41&gt;3,M41&lt;1,M41&gt;2,N41&lt;2,N41&gt;5,P41&lt;3,P41&gt;5),"CHECK","OK")</x:f>
        <x:v>OK</x:v>
      </x:c>
    </x:row>
    <x:row r="42" ht="42" customHeight="1">
      <x:c r="A42" s="27" t="n">
        <x:v>1037</x:v>
      </x:c>
      <x:c r="B42" s="27" t="str">
        <x:v>grasshopper</x:v>
      </x:c>
      <x:c r="C42" s="27" t="str">
        <x:v>Grasshopper</x:v>
      </x:c>
      <x:c r="D42" s="27" t="str">
        <x:v>Common</x:v>
      </x:c>
      <x:c r="E42" s="27" t="str">
        <x:v>Skirmisher</x:v>
      </x:c>
      <x:c r="F42" s="32" t="n">
        <x:v>70</x:v>
      </x:c>
      <x:c r="G42" s="32" t="n">
        <x:v>104</x:v>
      </x:c>
      <x:c r="H42" s="34" t="n">
        <x:v>72</x:v>
      </x:c>
      <x:c r="I42" s="34" t="n">
        <x:v>66</x:v>
      </x:c>
      <x:c r="J42" s="34" t="n">
        <x:v>26</x:v>
      </x:c>
      <x:c r="K42" s="34" t="n">
        <x:v>8</x:v>
      </x:c>
      <x:c r="L42" s="34" t="n">
        <x:v>1</x:v>
      </x:c>
      <x:c r="M42" s="34" t="n">
        <x:v>2</x:v>
      </x:c>
      <x:c r="N42" s="34" t="n">
        <x:v>5</x:v>
      </x:c>
      <x:c r="O42" s="34" t="str">
        <x:v>Spring Kick</x:v>
      </x:c>
      <x:c r="P42" s="34" t="n">
        <x:v>3</x:v>
      </x:c>
      <x:c r="Q42" s="28" t="str">
        <x:v>34 damage; regain 2 mana against Guard.</x:v>
      </x:c>
      <x:c r="R42" s="28" t="str">
        <x:v>Extreme action frequency, fragile frame.</x:v>
      </x:c>
      <x:c r="S42" s="36" t="n">
        <x:f>ROUND(H42*(100+J42)/100,1)</x:f>
        <x:v>90.7</x:v>
      </x:c>
      <x:c r="T42" s="36" t="n">
        <x:f>MAX(1,FLOOR(I42*100/(100+50),1))</x:f>
        <x:v>44</x:v>
      </x:c>
      <x:c r="U42" s="36" t="n">
        <x:f>FLOOR(K42/L42,1)</x:f>
        <x:v>8</x:v>
      </x:c>
      <x:c r="V42" s="27" t="str">
        <x:f>IF(OR(H42&lt;50,H42&gt;150,I42&lt;45,I42&gt;80,J42&lt;20,J42&gt;80,K42&lt;5,K42&gt;8,L42&lt;1,L42&gt;3,M42&lt;1,M42&gt;2,N42&lt;2,N42&gt;5,P42&lt;3,P42&gt;5),"CHECK","OK")</x:f>
        <x:v>OK</x:v>
      </x:c>
    </x:row>
    <x:row r="43" ht="42" customHeight="1">
      <x:c r="A43" s="27" t="n">
        <x:v>1038</x:v>
      </x:c>
      <x:c r="B43" s="27" t="str">
        <x:v>cricket</x:v>
      </x:c>
      <x:c r="C43" s="27" t="str">
        <x:v>Cricket</x:v>
      </x:c>
      <x:c r="D43" s="27" t="str">
        <x:v>Common</x:v>
      </x:c>
      <x:c r="E43" s="27" t="str">
        <x:v>Support</x:v>
      </x:c>
      <x:c r="F43" s="32" t="n">
        <x:v>74</x:v>
      </x:c>
      <x:c r="G43" s="32" t="n">
        <x:v>100</x:v>
      </x:c>
      <x:c r="H43" s="34" t="n">
        <x:v>78</x:v>
      </x:c>
      <x:c r="I43" s="34" t="n">
        <x:v>58</x:v>
      </x:c>
      <x:c r="J43" s="34" t="n">
        <x:v>38</x:v>
      </x:c>
      <x:c r="K43" s="34" t="n">
        <x:v>8</x:v>
      </x:c>
      <x:c r="L43" s="34" t="n">
        <x:v>2</x:v>
      </x:c>
      <x:c r="M43" s="34" t="n">
        <x:v>1</x:v>
      </x:c>
      <x:c r="N43" s="34" t="n">
        <x:v>4</x:v>
      </x:c>
      <x:c r="O43" s="34" t="str">
        <x:v>Night Chorus</x:v>
      </x:c>
      <x:c r="P43" s="34" t="n">
        <x:v>4</x:v>
      </x:c>
      <x:c r="Q43" s="28" t="str">
        <x:v>Gain 2 mana and reduce incoming damage by 20.</x:v>
      </x:c>
      <x:c r="R43" s="28" t="str">
        <x:v>Resource support with light defense.</x:v>
      </x:c>
      <x:c r="S43" s="36" t="n">
        <x:f>ROUND(H43*(100+J43)/100,1)</x:f>
        <x:v>107.6</x:v>
      </x:c>
      <x:c r="T43" s="36" t="n">
        <x:f>MAX(1,FLOOR(I43*100/(100+50),1))</x:f>
        <x:v>38</x:v>
      </x:c>
      <x:c r="U43" s="36" t="n">
        <x:f>FLOOR(K43/L43,1)</x:f>
        <x:v>4</x:v>
      </x:c>
      <x:c r="V43" s="27" t="str">
        <x:f>IF(OR(H43&lt;50,H43&gt;150,I43&lt;45,I43&gt;80,J43&lt;20,J43&gt;80,K43&lt;5,K43&gt;8,L43&lt;1,L43&gt;3,M43&lt;1,M43&gt;2,N43&lt;2,N43&gt;5,P43&lt;3,P43&gt;5),"CHECK","OK")</x:f>
        <x:v>OK</x:v>
      </x:c>
    </x:row>
    <x:row r="44" ht="42" customHeight="1">
      <x:c r="A44" s="27" t="n">
        <x:v>1039</x:v>
      </x:c>
      <x:c r="B44" s="27" t="str">
        <x:v>praying_mantis</x:v>
      </x:c>
      <x:c r="C44" s="27" t="str">
        <x:v>Praying Mantis</x:v>
      </x:c>
      <x:c r="D44" s="27" t="str">
        <x:v>Common</x:v>
      </x:c>
      <x:c r="E44" s="27" t="str">
        <x:v>Striker</x:v>
      </x:c>
      <x:c r="F44" s="32" t="n">
        <x:v>78</x:v>
      </x:c>
      <x:c r="G44" s="32" t="n">
        <x:v>94</x:v>
      </x:c>
      <x:c r="H44" s="34" t="n">
        <x:v>70</x:v>
      </x:c>
      <x:c r="I44" s="34" t="n">
        <x:v>76</x:v>
      </x:c>
      <x:c r="J44" s="34" t="n">
        <x:v>28</x:v>
      </x:c>
      <x:c r="K44" s="34" t="n">
        <x:v>6</x:v>
      </x:c>
      <x:c r="L44" s="34" t="n">
        <x:v>2</x:v>
      </x:c>
      <x:c r="M44" s="34" t="n">
        <x:v>2</x:v>
      </x:c>
      <x:c r="N44" s="34" t="n">
        <x:v>3</x:v>
      </x:c>
      <x:c r="O44" s="34" t="str">
        <x:v>Raptorial Slash</x:v>
      </x:c>
      <x:c r="P44" s="34" t="n">
        <x:v>5</x:v>
      </x:c>
      <x:c r="Q44" s="28" t="str">
        <x:v>Deal 62 direct damage.</x:v>
      </x:c>
      <x:c r="R44" s="28" t="str">
        <x:v>Highest insect burst, setup rewarded.</x:v>
      </x:c>
      <x:c r="S44" s="36" t="n">
        <x:f>ROUND(H44*(100+J44)/100,1)</x:f>
        <x:v>89.6</x:v>
      </x:c>
      <x:c r="T44" s="36" t="n">
        <x:f>MAX(1,FLOOR(I44*100/(100+50),1))</x:f>
        <x:v>50</x:v>
      </x:c>
      <x:c r="U44" s="36" t="n">
        <x:f>FLOOR(K44/L44,1)</x:f>
        <x:v>3</x:v>
      </x:c>
      <x:c r="V44" s="27" t="str">
        <x:f>IF(OR(H44&lt;50,H44&gt;150,I44&lt;45,I44&gt;80,J44&lt;20,J44&gt;80,K44&lt;5,K44&gt;8,L44&lt;1,L44&gt;3,M44&lt;1,M44&gt;2,N44&lt;2,N44&gt;5,P44&lt;3,P44&gt;5),"CHECK","OK")</x:f>
        <x:v>OK</x:v>
      </x:c>
    </x:row>
    <x:row r="45" ht="42" customHeight="1">
      <x:c r="A45" s="27" t="n">
        <x:v>1040</x:v>
      </x:c>
      <x:c r="B45" s="27" t="str">
        <x:v>garden_lizard</x:v>
      </x:c>
      <x:c r="C45" s="27" t="str">
        <x:v>Garden Lizard</x:v>
      </x:c>
      <x:c r="D45" s="27" t="str">
        <x:v>Common</x:v>
      </x:c>
      <x:c r="E45" s="27" t="str">
        <x:v>Balanced</x:v>
      </x:c>
      <x:c r="F45" s="32" t="n">
        <x:v>98</x:v>
      </x:c>
      <x:c r="G45" s="32" t="n">
        <x:v>76</x:v>
      </x:c>
      <x:c r="H45" s="34" t="n">
        <x:v>90</x:v>
      </x:c>
      <x:c r="I45" s="34" t="n">
        <x:v>60</x:v>
      </x:c>
      <x:c r="J45" s="34" t="n">
        <x:v>44</x:v>
      </x:c>
      <x:c r="K45" s="34" t="n">
        <x:v>6</x:v>
      </x:c>
      <x:c r="L45" s="34" t="n">
        <x:v>2</x:v>
      </x:c>
      <x:c r="M45" s="34" t="n">
        <x:v>2</x:v>
      </x:c>
      <x:c r="N45" s="34" t="n">
        <x:v>3</x:v>
      </x:c>
      <x:c r="O45" s="34" t="str">
        <x:v>Sunscale</x:v>
      </x:c>
      <x:c r="P45" s="34" t="n">
        <x:v>4</x:v>
      </x:c>
      <x:c r="Q45" s="28" t="str">
        <x:v>Restore 2 mana and gain 32 Guard this turn.</x:v>
      </x:c>
      <x:c r="R45" s="28" t="str">
        <x:v>Stable all-rounder with resource defense.</x:v>
      </x:c>
      <x:c r="S45" s="36" t="n">
        <x:f>ROUND(H45*(100+J45)/100,1)</x:f>
        <x:v>129.6</x:v>
      </x:c>
      <x:c r="T45" s="36" t="n">
        <x:f>MAX(1,FLOOR(I45*100/(100+50),1))</x:f>
        <x:v>40</x:v>
      </x:c>
      <x:c r="U45" s="36" t="n">
        <x:f>FLOOR(K45/L45,1)</x:f>
        <x:v>3</x:v>
      </x:c>
      <x:c r="V45" s="27" t="str">
        <x:f>IF(OR(H45&lt;50,H45&gt;150,I45&lt;45,I45&gt;80,J45&lt;20,J45&gt;80,K45&lt;5,K45&gt;8,L45&lt;1,L45&gt;3,M45&lt;1,M45&gt;2,N45&lt;2,N45&gt;5,P45&lt;3,P45&gt;5),"CHECK","OK")</x:f>
        <x:v>OK</x:v>
      </x:c>
    </x:row>
  </x:sheetData>
  <x:mergeCells>
    <x:mergeCell ref="A2:V2"/>
  </x:mergeCells>
  <x:conditionalFormatting sqref="V6:V45">
    <x:cfRule type="containsText" dxfId="0" priority="1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8d41f3c3c6a44610"/>
  </x:tableParts>
</x:worksheet>
</file>

<file path=xl/worksheets/sheet3.xml><?xml version="1.0" encoding="utf-8"?>
<x:worksheet xmlns:x="http://schemas.openxmlformats.org/spreadsheetml/2006/main">
  <x:sheetPr>
    <x:tabColor rgb="FFD6A84B"/>
  </x:sheetPr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62" hidden="0" customWidth="1"/>
  </x:cols>
  <x:sheetData>
    <x:row r="2" ht="26" customHeight="1">
      <x:c r="A2" s="2" t="str">
        <x:v>Combat Rules - Mana Model v2</x:v>
      </x:c>
    </x:row>
    <x:row r="3">
      <x:c r="A3" s="3"/>
      <x:c r="B3" s="3"/>
      <x:c r="C3" s="3"/>
    </x:row>
    <x:row r="5" ht="34" customHeight="1">
      <x:c r="A5" s="15" t="str">
        <x:v>Rule</x:v>
      </x:c>
      <x:c r="B5" s="25" t="str">
        <x:v>Decision</x:v>
      </x:c>
      <x:c r="C5" s="16" t="str">
        <x:v>Reason / Constraint</x:v>
      </x:c>
    </x:row>
    <x:row r="6" ht="48" customHeight="1">
      <x:c r="A6" s="28" t="str">
        <x:v>Resolution</x:v>
      </x:c>
      <x:c r="B6" s="28" t="str">
        <x:v>Both players choose privately during a 5-second window; resolve from one pre-turn snapshot.</x:v>
      </x:c>
      <x:c r="C6" s="28" t="str">
        <x:v>Prevents speed/latency advantage and preserves simultaneous double KOs.</x:v>
      </x:c>
    </x:row>
    <x:row r="7" ht="48" customHeight="1">
      <x:c r="A7" s="28" t="str">
        <x:v>Starting mana</x:v>
      </x:c>
      <x:c r="B7" s="28" t="str">
        <x:v>Each active creature enters at its own Max Mana.</x:v>
      </x:c>
      <x:c r="C7" s="28" t="str">
        <x:v>Makes Max Mana immediately meaningful and prevents dead opening turns.</x:v>
      </x:c>
    </x:row>
    <x:row r="8" ht="48" customHeight="1">
      <x:c r="A8" s="28" t="str">
        <x:v>Strike</x:v>
      </x:c>
      <x:c r="B8" s="28" t="str">
        <x:v>Pay the creature's Strike Cost; raw damage = MAX(1, FLOOR(ATK*100/(100+target DEF))).</x:v>
      </x:c>
      <x:c r="C8" s="28" t="str">
        <x:v>Removes speed from damage and keeps DEF diminishing rather than absolute.</x:v>
      </x:c>
    </x:row>
    <x:row r="9" ht="48" customHeight="1">
      <x:c r="A9" s="28" t="str">
        <x:v>Guard</x:v>
      </x:c>
      <x:c r="B9" s="28" t="str">
        <x:v>Pay Guard Cost; block FLOOR(DEF*0.70)+12 damage for this turn only.</x:v>
      </x:c>
      <x:c r="C9" s="28" t="str">
        <x:v>DEF supports both passive mitigation and active defense without a persistent shield stat.</x:v>
      </x:c>
    </x:row>
    <x:row r="10" ht="48" customHeight="1">
      <x:c r="A10" s="28" t="str">
        <x:v>Ability</x:v>
      </x:c>
      <x:c r="B10" s="28" t="str">
        <x:v>Pay Ability Cost and apply the roster-defined deterministic effect.</x:v>
      </x:c>
      <x:c r="C10" s="28" t="str">
        <x:v>One authored identity hook per creature; no randomness in settlement-critical logic.</x:v>
      </x:c>
    </x:row>
    <x:row r="11" ht="48" customHeight="1">
      <x:c r="A11" s="28" t="str">
        <x:v>Recharge</x:v>
      </x:c>
      <x:c r="B11" s="28" t="str">
        <x:v>Gain the creature's Recharge Gain, capped at Max Mana; deals no damage and heals no HP.</x:v>
      </x:c>
      <x:c r="C11" s="28" t="str">
        <x:v>Creates a readable resource risk window.</x:v>
      </x:c>
    </x:row>
    <x:row r="12" ht="48" customHeight="1">
      <x:c r="A12" s="28" t="str">
        <x:v>Unaffordable action</x:v>
      </x:c>
      <x:c r="B12" s="28" t="str">
        <x:v>Reject before choice lock. A missing, invalid, or timed-out choice resolves as Recharge and counts as missed.</x:v>
      </x:c>
      <x:c r="C12" s="28" t="str">
        <x:v>Players get agency while timeout handling remains deterministic.</x:v>
      </x:c>
    </x:row>
    <x:row r="13" ht="48" customHeight="1">
      <x:c r="A13" s="28" t="str">
        <x:v>Knockout</x:v>
      </x:c>
      <x:c r="B13" s="28" t="str">
        <x:v>Apply both selected actions, then advance each knocked-out side to its next creature.</x:v>
      </x:c>
      <x:c r="C13" s="28" t="str">
        <x:v>Simultaneous knockout can advance both teams.</x:v>
      </x:c>
    </x:row>
    <x:row r="14" ht="48" customHeight="1">
      <x:c r="A14" s="28" t="str">
        <x:v>Turn cap</x:v>
      </x:c>
      <x:c r="B14" s="28" t="str">
        <x:v>30 turns. Compare remaining team HP percentage, then total mana; exact tie refunds the stake.</x:v>
      </x:c>
      <x:c r="C14" s="28" t="str">
        <x:v>Bounds server time and avoids raw-HP advantage for tank teams.</x:v>
      </x:c>
    </x:row>
    <x:row r="15" ht="48" customHeight="1">
      <x:c r="A15" s="28" t="str">
        <x:v>Forfeit</x:v>
      </x:c>
      <x:c r="B15" s="28" t="str">
        <x:v>Three consecutive missed turns loses the match; both reaching three on the same turn is a draw/refund.</x:v>
      </x:c>
      <x:c r="C15" s="28" t="str">
        <x:v>Handles abandonment consistently.</x:v>
      </x:c>
    </x:row>
    <x:row r="16" ht="48" customHeight="1">
      <x:c r="A16" s="28" t="str">
        <x:v>Versions</x:v>
      </x:c>
      <x:c r="B16" s="28" t="str">
        <x:v>Match locks rules_version and balance_version at creation; all six creatures must match.</x:v>
      </x:c>
      <x:c r="C16" s="28" t="str">
        <x:v>No mixed schema or stat interpretation inside one match.</x:v>
      </x:c>
    </x:row>
    <x:row r="17" ht="48" customHeight="1">
      <x:c r="A17" s="28" t="str">
        <x:v>Authority</x:v>
      </x:c>
      <x:c r="B17" s="28" t="str">
        <x:v>Realtime server resolves turns; Solana owns Creature/SpeciesConfig/Match state and stake settlement.</x:v>
      </x:c>
      <x:c r="C17" s="28" t="str">
        <x:v>No wallet signature inside the five-second turn loop.</x:v>
      </x:c>
    </x:row>
    <x:row r="20" ht="34" customHeight="1">
      <x:c r="A20" s="15" t="str">
        <x:v>Parameter</x:v>
      </x:c>
      <x:c r="B20" s="25" t="str">
        <x:v>Allowed range</x:v>
      </x:c>
      <x:c r="C20" s="16" t="str">
        <x:v>Candidate roster</x:v>
      </x:c>
    </x:row>
    <x:row r="21">
      <x:c r="A21" t="str">
        <x:v>HP</x:v>
      </x:c>
      <x:c r="B21" t="str">
        <x:v>50-150</x:v>
      </x:c>
      <x:c r="C21" t="str">
        <x:v>56-140</x:v>
      </x:c>
    </x:row>
    <x:row r="22">
      <x:c r="A22" t="str">
        <x:v>ATK</x:v>
      </x:c>
      <x:c r="B22" t="str">
        <x:v>45-80</x:v>
      </x:c>
      <x:c r="C22" t="str">
        <x:v>50-76</x:v>
      </x:c>
    </x:row>
    <x:row r="23">
      <x:c r="A23" t="str">
        <x:v>DEF</x:v>
      </x:c>
      <x:c r="B23" t="str">
        <x:v>20-80</x:v>
      </x:c>
      <x:c r="C23" t="str">
        <x:v>20-78</x:v>
      </x:c>
    </x:row>
    <x:row r="24">
      <x:c r="A24" t="str">
        <x:v>Max Mana</x:v>
      </x:c>
      <x:c r="B24" t="str">
        <x:v>5-8</x:v>
      </x:c>
      <x:c r="C24" t="str">
        <x:v>5-8</x:v>
      </x:c>
    </x:row>
    <x:row r="25">
      <x:c r="A25" t="str">
        <x:v>Recharge Gain</x:v>
      </x:c>
      <x:c r="B25" t="str">
        <x:v>2-5</x:v>
      </x:c>
      <x:c r="C25" t="str">
        <x:v>2-5</x:v>
      </x:c>
    </x:row>
    <x:row r="28" ht="34" customHeight="1">
      <x:c r="A28" s="15" t="str">
        <x:v>Timing order</x:v>
      </x:c>
      <x:c r="B28" s="25" t="str">
        <x:v>Step</x:v>
      </x:c>
      <x:c r="C28" s="16" t="str">
        <x:v>Detail</x:v>
      </x:c>
    </x:row>
    <x:row r="29">
      <x:c r="A29" s="29" t="n">
        <x:v>1</x:v>
      </x:c>
      <x:c r="B29" s="29" t="str">
        <x:v>Lock</x:v>
      </x:c>
      <x:c r="C29" s="29" t="str">
        <x:v>Validate affordability and store choice privately.</x:v>
      </x:c>
    </x:row>
    <x:row r="30">
      <x:c r="A30" s="29" t="n">
        <x:v>2</x:v>
      </x:c>
      <x:c r="B30" s="29" t="str">
        <x:v>Reveal</x:v>
      </x:c>
      <x:c r="C30" s="29" t="str">
        <x:v>Reveal both choices only after both lock or deadline.</x:v>
      </x:c>
    </x:row>
    <x:row r="31">
      <x:c r="A31" s="29" t="n">
        <x:v>3</x:v>
      </x:c>
      <x:c r="B31" s="29" t="str">
        <x:v>Spend/Gain</x:v>
      </x:c>
      <x:c r="C31" s="29" t="str">
        <x:v>Apply mana costs or Recharge gain from the pre-turn snapshot.</x:v>
      </x:c>
    </x:row>
    <x:row r="32">
      <x:c r="A32" s="29" t="n">
        <x:v>4</x:v>
      </x:c>
      <x:c r="B32" s="29" t="str">
        <x:v>Resolve</x:v>
      </x:c>
      <x:c r="C32" s="29" t="str">
        <x:v>Apply Guard, abilities, and Strike effects according to explicit ability timing.</x:v>
      </x:c>
    </x:row>
    <x:row r="33">
      <x:c r="A33" s="29" t="n">
        <x:v>5</x:v>
      </x:c>
      <x:c r="B33" s="29" t="str">
        <x:v>Finalize</x:v>
      </x:c>
      <x:c r="C33" s="29" t="str">
        <x:v>Apply simultaneous knockouts, status expiry, turn advance, cap, or outcome.</x:v>
      </x:c>
    </x:row>
  </x:sheetData>
  <x:mergeCells>
    <x:mergeCell ref="A2:C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75146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34" hidden="0" customWidth="1"/>
    <x:col min="5" max="5" width="58" hidden="0" customWidth="1"/>
    <x:col min="6" max="6" width="72" hidden="0" customWidth="1"/>
    <x:col min="7" max="7" width="24" hidden="0" customWidth="1"/>
    <x:col min="8" max="8" width="16" hidden="0" customWidth="1"/>
    <x:col min="9" max="9" width="9" hidden="0" customWidth="1"/>
  </x:cols>
  <x:sheetData>
    <x:row r="2" ht="26" customHeight="1">
      <x:c r="A2" s="2" t="str">
        <x:v>Implementation Backlog - Mana Combat v2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</x:row>
    <x:row r="4" ht="34" customHeight="1">
      <x:c r="A4" s="15" t="str">
        <x:v>ID</x:v>
      </x:c>
      <x:c r="B4" s="25" t="str">
        <x:v>Priority</x:v>
      </x:c>
      <x:c r="C4" s="25" t="str">
        <x:v>Area</x:v>
      </x:c>
      <x:c r="D4" s="25" t="str">
        <x:v>Task</x:v>
      </x:c>
      <x:c r="E4" s="25" t="str">
        <x:v>Scope</x:v>
      </x:c>
      <x:c r="F4" s="25" t="str">
        <x:v>Acceptance Criteria</x:v>
      </x:c>
      <x:c r="G4" s="25" t="str">
        <x:v>Depends On</x:v>
      </x:c>
      <x:c r="H4" s="25" t="str">
        <x:v>Status</x:v>
      </x:c>
      <x:c r="I4" s="16" t="str">
        <x:v>Size</x:v>
      </x:c>
    </x:row>
    <x:row r="5" ht="64" customHeight="1">
      <x:c r="A5" s="27" t="str">
        <x:v>MB-01</x:v>
      </x:c>
      <x:c r="B5" s="27" t="str">
        <x:v>P0</x:v>
      </x:c>
      <x:c r="C5" s="27" t="str">
        <x:v>Rules</x:v>
      </x:c>
      <x:c r="D5" s="28" t="str">
        <x:v>Freeze mana combat contract</x:v>
      </x:c>
      <x:c r="E5" s="28" t="str">
        <x:v>Approve simultaneous resolution, 30-turn cap, timeout fallback, tie-break, stat ranges, per-creature costs, and ability timing.</x:v>
      </x:c>
      <x:c r="F5" s="28" t="str">
        <x:v>One signed rules version defines every action, timing window, cap, fallback, and tie-break; no open design questions remain.</x:v>
      </x:c>
      <x:c r="G5" s="28" t="str">
        <x:v>-</x:v>
      </x:c>
      <x:c r="H5" s="28" t="str">
        <x:v>Done</x:v>
      </x:c>
      <x:c r="I5" s="27" t="str">
        <x:v>S</x:v>
      </x:c>
    </x:row>
    <x:row r="6" ht="64" customHeight="1">
      <x:c r="A6" s="27" t="str">
        <x:v>MB-02</x:v>
      </x:c>
      <x:c r="B6" s="27" t="str">
        <x:v>P0</x:v>
      </x:c>
      <x:c r="C6" s="27" t="str">
        <x:v>Program</x:v>
      </x:c>
      <x:c r="D6" s="28" t="str">
        <x:v>Create balance version 2 account layout</x:v>
      </x:c>
      <x:c r="E6" s="28" t="str">
        <x:v>Replace speed and starting shield in SpeciesConfig with max_mana, strike_cost, guard_cost, ability_cost, recharge_gain, ability_id; preserve deterministic u16/u8 bounds.</x:v>
      </x:c>
      <x:c r="F6" s="28" t="str">
        <x:v>Rust layout builds; IDL exposes exact new fields; account sizing and bounds tests pass.</x:v>
      </x:c>
      <x:c r="G6" s="28" t="str">
        <x:v>MB-01</x:v>
      </x:c>
      <x:c r="H6" s="28" t="str">
        <x:v>Done</x:v>
      </x:c>
      <x:c r="I6" s="27" t="str">
        <x:v>M</x:v>
      </x:c>
    </x:row>
    <x:row r="7" ht="64" customHeight="1">
      <x:c r="A7" s="27" t="str">
        <x:v>MB-03</x:v>
      </x:c>
      <x:c r="B7" s="27" t="str">
        <x:v>P0</x:v>
      </x:c>
      <x:c r="C7" s="27" t="str">
        <x:v>Program</x:v>
      </x:c>
      <x:c r="D7" s="28" t="str">
        <x:v>Add versioned SpeciesConfig initialization</x:v>
      </x:c>
      <x:c r="E7" s="28" t="str">
        <x:v>Initialize all 40 catalogue IDs using the approved v2 values without mutating v1 accounts.</x:v>
      </x:c>
      <x:c r="F7" s="28" t="str">
        <x:v>Every supported catalogue ID derives a v2 PDA and stores the workbook values exactly; unsupported IDs fail closed.</x:v>
      </x:c>
      <x:c r="G7" s="28" t="str">
        <x:v>MB-02</x:v>
      </x:c>
      <x:c r="H7" s="28" t="str">
        <x:v>Done</x:v>
      </x:c>
      <x:c r="I7" s="27" t="str">
        <x:v>M</x:v>
      </x:c>
    </x:row>
    <x:row r="8" ht="64" customHeight="1">
      <x:c r="A8" s="27" t="str">
        <x:v>MB-04</x:v>
      </x:c>
      <x:c r="B8" s="27" t="str">
        <x:v>P0</x:v>
      </x:c>
      <x:c r="C8" s="27" t="str">
        <x:v>Engine</x:v>
      </x:c>
      <x:c r="D8" s="28" t="str">
        <x:v>Remove speed initiative and permanent shield</x:v>
      </x:c>
      <x:c r="E8" s="28" t="str">
        <x:v>Resolve both choices from one pre-turn snapshot; Guard is temporary mitigation derived from DEF and ability effects.</x:v>
      </x:c>
      <x:c r="F8" s="28" t="str">
        <x:v>Double KO remains possible; no code path reads speed or starting shield; golden vectors cover all nine action pairs.</x:v>
      </x:c>
      <x:c r="G8" s="28" t="str">
        <x:v>MB-01, MB-02</x:v>
      </x:c>
      <x:c r="H8" s="28" t="str">
        <x:v>Done</x:v>
      </x:c>
      <x:c r="I8" s="27" t="str">
        <x:v>L</x:v>
      </x:c>
    </x:row>
    <x:row r="9" ht="64" customHeight="1">
      <x:c r="A9" s="27" t="str">
        <x:v>MB-05</x:v>
      </x:c>
      <x:c r="B9" s="27" t="str">
        <x:v>P0</x:v>
      </x:c>
      <x:c r="C9" s="27" t="str">
        <x:v>Engine</x:v>
      </x:c>
      <x:c r="D9" s="28" t="str">
        <x:v>Implement per-creature mana economy</x:v>
      </x:c>
      <x:c r="E9" s="28" t="str">
        <x:v>Start each fighter at max mana; apply its Strike, Guard, ability costs and Recharge gain with cap enforcement.</x:v>
      </x:c>
      <x:c r="F9" s="28" t="str">
        <x:v>Unaffordable choices are rejected before lock; timeout/invalid choice becomes Recharge; mana never leaves 0..max.</x:v>
      </x:c>
      <x:c r="G9" s="28" t="str">
        <x:v>MB-02, MB-04</x:v>
      </x:c>
      <x:c r="H9" s="28" t="str">
        <x:v>Done</x:v>
      </x:c>
      <x:c r="I9" s="27" t="str">
        <x:v>M</x:v>
      </x:c>
    </x:row>
    <x:row r="10" ht="64" customHeight="1">
      <x:c r="A10" s="27" t="str">
        <x:v>MB-06</x:v>
      </x:c>
      <x:c r="B10" s="27" t="str">
        <x:v>P0</x:v>
      </x:c>
      <x:c r="C10" s="27" t="str">
        <x:v>Engine</x:v>
      </x:c>
      <x:c r="D10" s="28" t="str">
        <x:v>Implement 40 deterministic abilities</x:v>
      </x:c>
      <x:c r="E10" s="28" t="str">
        <x:v>Add one ability ID and integer-only effect for every roster entry.</x:v>
      </x:c>
      <x:c r="F10" s="28" t="str">
        <x:v>Each ability matches the roster sheet, has timing and cap tests, and produces deterministic events on server and client.</x:v>
      </x:c>
      <x:c r="G10" s="28" t="str">
        <x:v>MB-03, MB-05</x:v>
      </x:c>
      <x:c r="H10" s="28" t="str">
        <x:v>Done</x:v>
      </x:c>
      <x:c r="I10" s="27" t="str">
        <x:v>XL</x:v>
      </x:c>
    </x:row>
    <x:row r="11" ht="64" customHeight="1">
      <x:c r="A11" s="27" t="str">
        <x:v>MB-07</x:v>
      </x:c>
      <x:c r="B11" s="27" t="str">
        <x:v>P0</x:v>
      </x:c>
      <x:c r="C11" s="27" t="str">
        <x:v>Protocol</x:v>
      </x:c>
      <x:c r="D11" s="28" t="str">
        <x:v>Add ability action and event payloads</x:v>
      </x:c>
      <x:c r="E11" s="28" t="str">
        <x:v>Extend strict client/server schemas for ability selection, mana changes, Guard, status effects, and ability results.</x:v>
      </x:c>
      <x:c r="F11" s="28" t="str">
        <x:v>Old or malformed payloads fail with explicit protocol errors; opponent choices remain private until resolution.</x:v>
      </x:c>
      <x:c r="G11" s="28" t="str">
        <x:v>MB-05, MB-06</x:v>
      </x:c>
      <x:c r="H11" s="28" t="str">
        <x:v>Done</x:v>
      </x:c>
      <x:c r="I11" s="27" t="str">
        <x:v>M</x:v>
      </x:c>
    </x:row>
    <x:row r="12" ht="64" customHeight="1">
      <x:c r="A12" s="27" t="str">
        <x:v>MB-08</x:v>
      </x:c>
      <x:c r="B12" s="27" t="str">
        <x:v>P0</x:v>
      </x:c>
      <x:c r="C12" s="27" t="str">
        <x:v>Security</x:v>
      </x:c>
      <x:c r="D12" s="28" t="str">
        <x:v>Bind settlement hash to rules and balance versions</x:v>
      </x:c>
      <x:c r="E12" s="28" t="str">
        <x:v>Include rules version, balance version, both choices, ability effects, and ordered events in the canonical result payload.</x:v>
      </x:c>
      <x:c r="F12" s="28" t="str">
        <x:v>Changing any bound field changes the hash; replay and mismatched-version tests fail closed.</x:v>
      </x:c>
      <x:c r="G12" s="28" t="str">
        <x:v>MB-03, MB-07</x:v>
      </x:c>
      <x:c r="H12" s="28" t="str">
        <x:v>Done</x:v>
      </x:c>
      <x:c r="I12" s="27" t="str">
        <x:v>M</x:v>
      </x:c>
    </x:row>
    <x:row r="13" ht="64" customHeight="1">
      <x:c r="A13" s="27" t="str">
        <x:v>MB-09</x:v>
      </x:c>
      <x:c r="B13" s="27" t="str">
        <x:v>P0</x:v>
      </x:c>
      <x:c r="C13" s="27" t="str">
        <x:v>Generated client</x:v>
      </x:c>
      <x:c r="D13" s="28" t="str">
        <x:v>Rebuild IDL and Codama client</x:v>
      </x:c>
      <x:c r="E13" s="28" t="str">
        <x:v>Build the program, inspect the IDL, then regenerate clients from source.</x:v>
      </x:c>
      <x:c r="F13" s="28" t="str">
        <x:v>Generated diffs contain the expected v2 fields and program ID only; no generated file is hand-edited.</x:v>
      </x:c>
      <x:c r="G13" s="28" t="str">
        <x:v>MB-02, MB-03</x:v>
      </x:c>
      <x:c r="H13" s="28" t="str">
        <x:v>Done</x:v>
      </x:c>
      <x:c r="I13" s="27" t="str">
        <x:v>S</x:v>
      </x:c>
    </x:row>
    <x:row r="14" ht="64" customHeight="1">
      <x:c r="A14" s="27" t="str">
        <x:v>MB-10</x:v>
      </x:c>
      <x:c r="B14" s="27" t="str">
        <x:v>P0</x:v>
      </x:c>
      <x:c r="C14" s="27" t="str">
        <x:v>Data</x:v>
      </x:c>
      <x:c r="D14" s="28" t="str">
        <x:v>Update catalogue role copy for mana combat</x:v>
      </x:c>
      <x:c r="E14" s="28" t="str">
        <x:v>Replace speed/shield descriptions and expand role constraint for Support, Controller, Brawler, and Energizer.</x:v>
      </x:c>
      <x:c r="F14" s="28" t="str">
        <x:v>A timestamped migration updates all affected copy and database types; catalogue remains descriptive, not battle-authoritative.</x:v>
      </x:c>
      <x:c r="G14" s="28" t="str">
        <x:v>MB-01</x:v>
      </x:c>
      <x:c r="H14" s="28" t="str">
        <x:v>Done</x:v>
      </x:c>
      <x:c r="I14" s="27" t="str">
        <x:v>M</x:v>
      </x:c>
    </x:row>
    <x:row r="15" ht="64" customHeight="1">
      <x:c r="A15" s="27" t="str">
        <x:v>MB-11</x:v>
      </x:c>
      <x:c r="B15" s="27" t="str">
        <x:v>P1</x:v>
      </x:c>
      <x:c r="C15" s="27" t="str">
        <x:v>UI</x:v>
      </x:c>
      <x:c r="D15" s="28" t="str">
        <x:v>Show four mobile battle actions</x:v>
      </x:c>
      <x:c r="E15" s="28" t="str">
        <x:v>Present Strike, Guard, Ability, Recharge as 48px+ controls with the active creature's live costs and disabled reasons.</x:v>
      </x:c>
      <x:c r="F15" s="28" t="str">
        <x:v>All actions fit supported phone widths; focus is visible; unaffordable actions cannot be submitted.</x:v>
      </x:c>
      <x:c r="G15" s="28" t="str">
        <x:v>MB-07</x:v>
      </x:c>
      <x:c r="H15" s="28" t="str">
        <x:v>Done</x:v>
      </x:c>
      <x:c r="I15" s="27" t="str">
        <x:v>M</x:v>
      </x:c>
    </x:row>
    <x:row r="16" ht="64" customHeight="1">
      <x:c r="A16" s="27" t="str">
        <x:v>MB-12</x:v>
      </x:c>
      <x:c r="B16" s="27" t="str">
        <x:v>P1</x:v>
      </x:c>
      <x:c r="C16" s="27" t="str">
        <x:v>UI</x:v>
      </x:c>
      <x:c r="D16" s="28" t="str">
        <x:v>Show mana and temporary Guard clearly</x:v>
      </x:c>
      <x:c r="E16" s="28" t="str">
        <x:v>Display current/max mana, projected cost, Recharge gain, and one-turn Guard without implying persistent shield.</x:v>
      </x:c>
      <x:c r="F16" s="28" t="str">
        <x:v>Values update only from authoritative snapshots; reconnect restores exact state.</x:v>
      </x:c>
      <x:c r="G16" s="28" t="str">
        <x:v>MB-07</x:v>
      </x:c>
      <x:c r="H16" s="28" t="str">
        <x:v>Done</x:v>
      </x:c>
      <x:c r="I16" s="27" t="str">
        <x:v>M</x:v>
      </x:c>
    </x:row>
    <x:row r="17" ht="64" customHeight="1">
      <x:c r="A17" s="27" t="str">
        <x:v>MB-13</x:v>
      </x:c>
      <x:c r="B17" s="27" t="str">
        <x:v>P1</x:v>
      </x:c>
      <x:c r="C17" s="27" t="str">
        <x:v>UI</x:v>
      </x:c>
      <x:c r="D17" s="28" t="str">
        <x:v>Explain abilities in one tap</x:v>
      </x:c>
      <x:c r="E17" s="28" t="str">
        <x:v>Add concise effect, timing, cost, and status text beside the Ability action.</x:v>
      </x:c>
      <x:c r="F17" s="28" t="str">
        <x:v>Every ability has readable mobile copy; no hover-only explanation; screen readers announce costs and disabled state.</x:v>
      </x:c>
      <x:c r="G17" s="28" t="str">
        <x:v>MB-06, MB-11</x:v>
      </x:c>
      <x:c r="H17" s="28" t="str">
        <x:v>Done</x:v>
      </x:c>
      <x:c r="I17" s="27" t="str">
        <x:v>M</x:v>
      </x:c>
    </x:row>
    <x:row r="18" ht="64" customHeight="1">
      <x:c r="A18" s="27" t="str">
        <x:v>MB-14</x:v>
      </x:c>
      <x:c r="B18" s="27" t="str">
        <x:v>P1</x:v>
      </x:c>
      <x:c r="C18" s="27" t="str">
        <x:v>UX</x:v>
      </x:c>
      <x:c r="D18" s="28" t="str">
        <x:v>Animate resolution without hiding state</x:v>
      </x:c>
      <x:c r="E18" s="28" t="str">
        <x:v>Animate both actions, damage, Guard, mana, and knockouts in a deterministic 1.25-second sequence.</x:v>
      </x:c>
      <x:c r="F18" s="28" t="str">
        <x:v>Reduced motion uses instant state plus fades; input stays locked until the next authoritative turn.</x:v>
      </x:c>
      <x:c r="G18" s="28" t="str">
        <x:v>MB-07, MB-11</x:v>
      </x:c>
      <x:c r="H18" s="28" t="str">
        <x:v>Done</x:v>
      </x:c>
      <x:c r="I18" s="27" t="str">
        <x:v>M</x:v>
      </x:c>
    </x:row>
    <x:row r="19" ht="64" customHeight="1">
      <x:c r="A19" s="27" t="str">
        <x:v>MB-15</x:v>
      </x:c>
      <x:c r="B19" s="27" t="str">
        <x:v>P1</x:v>
      </x:c>
      <x:c r="C19" s="27" t="str">
        <x:v>Simulation</x:v>
      </x:c>
      <x:c r="D19" s="28" t="str">
        <x:v>Replace speed-based balance simulator</x:v>
      </x:c>
      <x:c r="E19" s="28" t="str">
        <x:v>Model per-creature costs, Recharge, Guard, abilities, action policies, team order, and mirrored sides.</x:v>
      </x:c>
      <x:c r="F19" s="28" t="str">
        <x:v>Seeded runs reproduce exactly and export per-creature pick, win, action, mana-starvation, and turn metrics.</x:v>
      </x:c>
      <x:c r="G19" s="28" t="str">
        <x:v>MB-04, MB-06</x:v>
      </x:c>
      <x:c r="H19" s="28" t="str">
        <x:v>Done</x:v>
      </x:c>
      <x:c r="I19" s="27" t="str">
        <x:v>L</x:v>
      </x:c>
    </x:row>
    <x:row r="20" ht="64" customHeight="1">
      <x:c r="A20" s="27" t="str">
        <x:v>MB-16</x:v>
      </x:c>
      <x:c r="B20" s="27" t="str">
        <x:v>P1</x:v>
      </x:c>
      <x:c r="C20" s="27" t="str">
        <x:v>Simulation</x:v>
      </x:c>
      <x:c r="D20" s="28" t="str">
        <x:v>Run matchup and team Monte Carlo</x:v>
      </x:c>
      <x:c r="E20" s="28" t="str">
        <x:v>Run every 1v1 pairing plus at least 100,000 seeded 3v3 matches across several action policies.</x:v>
      </x:c>
      <x:c r="F20" s="28" t="str">
        <x:v>Median 3v3 length is 12-24 turns; draw rate &lt;5%; side delta &lt;1.5pp; no creature adjusted win rate outside 45-55% without documented niche tradeoff.</x:v>
      </x:c>
      <x:c r="G20" s="28" t="str">
        <x:v>MB-15</x:v>
      </x:c>
      <x:c r="H20" s="28" t="str">
        <x:v>Backlog</x:v>
      </x:c>
      <x:c r="I20" s="27" t="str">
        <x:v>L</x:v>
      </x:c>
    </x:row>
    <x:row r="21" ht="64" customHeight="1">
      <x:c r="A21" s="27" t="str">
        <x:v>MB-17</x:v>
      </x:c>
      <x:c r="B21" s="27" t="str">
        <x:v>P1</x:v>
      </x:c>
      <x:c r="C21" s="27" t="str">
        <x:v>Balance</x:v>
      </x:c>
      <x:c r="D21" s="28" t="str">
        <x:v>Tune outliers and economy loops</x:v>
      </x:c>
      <x:c r="E21" s="28" t="str">
        <x:v>Adjust stats/costs in one source, rerun simulations, and document changes.</x:v>
      </x:c>
      <x:c r="F21" s="28" t="str">
        <x:v>No infinite Guard/Recharge loop; no dominant action &gt;60%; mana-starved turns &lt;15%; all deviations link to evidence.</x:v>
      </x:c>
      <x:c r="G21" s="28" t="str">
        <x:v>MB-16</x:v>
      </x:c>
      <x:c r="H21" s="28" t="str">
        <x:v>Done</x:v>
      </x:c>
      <x:c r="I21" s="27" t="str">
        <x:v>M</x:v>
      </x:c>
    </x:row>
    <x:row r="22" ht="64" customHeight="1">
      <x:c r="A22" s="27" t="str">
        <x:v>MB-18</x:v>
      </x:c>
      <x:c r="B22" s="27" t="str">
        <x:v>P1</x:v>
      </x:c>
      <x:c r="C22" s="27" t="str">
        <x:v>Tests</x:v>
      </x:c>
      <x:c r="D22" s="28" t="str">
        <x:v>Add engine boundary and golden-vector tests</x:v>
      </x:c>
      <x:c r="E22" s="28" t="str">
        <x:v>Cover 0 mana, exact cost, cap, simultaneous KO, status expiry, overflow, timeout, and turn 30.</x:v>
      </x:c>
      <x:c r="F22" s="28" t="str">
        <x:v>Tests call production resolution logic and assert state plus emitted events.</x:v>
      </x:c>
      <x:c r="G22" s="28" t="str">
        <x:v>MB-04, MB-06</x:v>
      </x:c>
      <x:c r="H22" s="28" t="str">
        <x:v>Done</x:v>
      </x:c>
      <x:c r="I22" s="27" t="str">
        <x:v>L</x:v>
      </x:c>
    </x:row>
    <x:row r="23" ht="64" customHeight="1">
      <x:c r="A23" s="27" t="str">
        <x:v>MB-19</x:v>
      </x:c>
      <x:c r="B23" s="27" t="str">
        <x:v>P1</x:v>
      </x:c>
      <x:c r="C23" s="27" t="str">
        <x:v>Tests</x:v>
      </x:c>
      <x:c r="D23" s="28" t="str">
        <x:v>Add server privacy and reconnect tests</x:v>
      </x:c>
      <x:c r="E23" s="28" t="str">
        <x:v>Verify private choice storage, duplicate lock rejection, stale turn rejection, timeout Recharge, reconnect, and terminal errors.</x:v>
      </x:c>
      <x:c r="F23" s="28" t="str">
        <x:v>No choice leaks before resolution and terminal matches do not reconnect-loop.</x:v>
      </x:c>
      <x:c r="G23" s="28" t="str">
        <x:v>MB-07</x:v>
      </x:c>
      <x:c r="H23" s="28" t="str">
        <x:v>Done</x:v>
      </x:c>
      <x:c r="I23" s="27" t="str">
        <x:v>M</x:v>
      </x:c>
    </x:row>
    <x:row r="24" ht="64" customHeight="1">
      <x:c r="A24" s="27" t="str">
        <x:v>MB-20</x:v>
      </x:c>
      <x:c r="B24" s="27" t="str">
        <x:v>P1</x:v>
      </x:c>
      <x:c r="C24" s="27" t="str">
        <x:v>Tests</x:v>
      </x:c>
      <x:c r="D24" s="28" t="str">
        <x:v>Add UI interaction and accessibility tests</x:v>
      </x:c>
      <x:c r="E24" s="28" t="str">
        <x:v>Cover costs, disabled actions, ability details, keyboard focus, reduced motion, and authoritative state changes.</x:v>
      </x:c>
      <x:c r="F24" s="28" t="str">
        <x:v>Automated tests pass at 320px, 390px, and desktop spectator width.</x:v>
      </x:c>
      <x:c r="G24" s="28" t="str">
        <x:v>MB-11, MB-12, MB-13, MB-14</x:v>
      </x:c>
      <x:c r="H24" s="28" t="str">
        <x:v>Backlog</x:v>
      </x:c>
      <x:c r="I24" s="27" t="str">
        <x:v>M</x:v>
      </x:c>
    </x:row>
    <x:row r="25" ht="64" customHeight="1">
      <x:c r="A25" s="27" t="str">
        <x:v>MB-21</x:v>
      </x:c>
      <x:c r="B25" s="27" t="str">
        <x:v>P1</x:v>
      </x:c>
      <x:c r="C25" s="27" t="str">
        <x:v>Migration</x:v>
      </x:c>
      <x:c r="D25" s="28" t="str">
        <x:v>Define v1 match and creature compatibility</x:v>
      </x:c>
      <x:c r="E25" s="28" t="str">
        <x:v>Choose whether existing v1 creatures can enter only v1 matches or require an explicit v2 upgrade flow.</x:v>
      </x:c>
      <x:c r="F25" s="28" t="str">
        <x:v>Opening/joining a match rejects mixed versions with a user-facing reason; existing ownership is never lost.</x:v>
      </x:c>
      <x:c r="G25" s="28" t="str">
        <x:v>MB-03</x:v>
      </x:c>
      <x:c r="H25" s="28" t="str">
        <x:v>Done</x:v>
      </x:c>
      <x:c r="I25" s="27" t="str">
        <x:v>M</x:v>
      </x:c>
    </x:row>
    <x:row r="26" ht="64" customHeight="1">
      <x:c r="A26" s="27" t="str">
        <x:v>MB-22</x:v>
      </x:c>
      <x:c r="B26" s="27" t="str">
        <x:v>P1</x:v>
      </x:c>
      <x:c r="C26" s="27" t="str">
        <x:v>Operations</x:v>
      </x:c>
      <x:c r="D26" s="28" t="str">
        <x:v>Add v2 initialization and verification script</x:v>
      </x:c>
      <x:c r="E26" s="28" t="str">
        <x:v>Create an idempotent admin script that initializes and verifies all 40 v2 SpeciesConfig accounts.</x:v>
      </x:c>
      <x:c r="F26" s="28" t="str">
        <x:v>Dry run reports intended PDAs; live run requires explicit cluster confirmation; post-run reads compare every field.</x:v>
      </x:c>
      <x:c r="G26" s="28" t="str">
        <x:v>MB-03, MB-09</x:v>
      </x:c>
      <x:c r="H26" s="28" t="str">
        <x:v>Done</x:v>
      </x:c>
      <x:c r="I26" s="27" t="str">
        <x:v>M</x:v>
      </x:c>
    </x:row>
    <x:row r="27" ht="64" customHeight="1">
      <x:c r="A27" s="27" t="str">
        <x:v>MB-23</x:v>
      </x:c>
      <x:c r="B27" s="27" t="str">
        <x:v>P2</x:v>
      </x:c>
      <x:c r="C27" s="27" t="str">
        <x:v>Telemetry</x:v>
      </x:c>
      <x:c r="D27" s="28" t="str">
        <x:v>Record balance-safe aggregate events</x:v>
      </x:c>
      <x:c r="E27" s="28" t="str">
        <x:v>Measure anonymous action rates, turn length, mana starvation, ability use, disconnects, and outcomes by balance version.</x:v>
      </x:c>
      <x:c r="F27" s="28" t="str">
        <x:v>No wallet or photo data enters analytics; event schema and retention are documented.</x:v>
      </x:c>
      <x:c r="G27" s="28" t="str">
        <x:v>MB-07</x:v>
      </x:c>
      <x:c r="H27" s="28" t="str">
        <x:v>Backlog</x:v>
      </x:c>
      <x:c r="I27" s="27" t="str">
        <x:v>M</x:v>
      </x:c>
    </x:row>
    <x:row r="28" ht="64" customHeight="1">
      <x:c r="A28" s="27" t="str">
        <x:v>MB-24</x:v>
      </x:c>
      <x:c r="B28" s="27" t="str">
        <x:v>P2</x:v>
      </x:c>
      <x:c r="C28" s="27" t="str">
        <x:v>Release</x:v>
      </x:c>
      <x:c r="D28" s="28" t="str">
        <x:v>Gate v2 behind version activation</x:v>
      </x:c>
      <x:c r="E28" s="28" t="str">
        <x:v>Activate rules/balance version only after program, server, client, configs, and tests are deployed and verified.</x:v>
      </x:c>
      <x:c r="F28" s="28" t="str">
        <x:v>Preflight refuses partial activation; rollback returns matchmaking to v1 without changing existing accounts.</x:v>
      </x:c>
      <x:c r="G28" s="28" t="str">
        <x:v>MB-09, MB-17, MB-22</x:v>
      </x:c>
      <x:c r="H28" s="28" t="str">
        <x:v>Backlog</x:v>
      </x:c>
      <x:c r="I28" s="27" t="str">
        <x:v>M</x:v>
      </x:c>
    </x:row>
    <x:row r="29" ht="64" customHeight="1">
      <x:c r="A29" s="27" t="str">
        <x:v>MB-25</x:v>
      </x:c>
      <x:c r="B29" s="27" t="str">
        <x:v>P2</x:v>
      </x:c>
      <x:c r="C29" s="27" t="str">
        <x:v>Devnet</x:v>
      </x:c>
      <x:c r="D29" s="28" t="str">
        <x:v>Verify full v2 battle loop</x:v>
      </x:c>
      <x:c r="E29" s="28" t="str">
        <x:v>On Devnet, capture/own six creatures, open/join, play abilities, settle, and claim with both winner sides plus a draw.</x:v>
      </x:c>
      <x:c r="F29" s="28" t="str">
        <x:v>Confirmed signatures and account reads are recorded; failures identify the exact instruction or protocol boundary.</x:v>
      </x:c>
      <x:c r="G29" s="28" t="str">
        <x:v>MB-24</x:v>
      </x:c>
      <x:c r="H29" s="28" t="str">
        <x:v>Backlog</x:v>
      </x:c>
      <x:c r="I29" s="27" t="str">
        <x:v>L</x:v>
      </x:c>
    </x:row>
  </x:sheetData>
  <x:mergeCells>
    <x:mergeCell ref="A2:I2"/>
  </x:mergeCells>
  <x:conditionalFormatting sqref="B5:B29">
    <x:cfRule type="containsText" dxfId="1" priority="1" operator="containsText" text="P0"/>
    <x:cfRule type="containsText" dxfId="2" priority="2" operator="containsText" text="P1"/>
  </x:conditionalFormatting>
  <x:dataValidations count="1">
    <x:dataValidation type="list" sqref="H5:H29">
      <x:formula1>"Backlog,Ready,In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da25aa215b40b1"/>
  </x:tableParts>
</x:worksheet>
</file>

<file path=xl/worksheets/sheet5.xml><?xml version="1.0" encoding="utf-8"?>
<x:worksheet xmlns:x="http://schemas.openxmlformats.org/spreadsheetml/2006/main">
  <x:sheetPr>
    <x:tabColor rgb="FF4C8C4A"/>
  </x:sheetPr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82" hidden="0" customWidth="1"/>
    <x:col min="4" max="4" width="28" hidden="0" customWidth="1"/>
  </x:cols>
  <x:sheetData>
    <x:row r="2" ht="26" customHeight="1">
      <x:c r="A2" s="2" t="str">
        <x:v>Validation and Release Gates</x:v>
      </x:c>
    </x:row>
    <x:row r="3">
      <x:c r="A3" s="3"/>
      <x:c r="B3" s="3"/>
      <x:c r="C3" s="3"/>
      <x:c r="D3" s="3"/>
    </x:row>
    <x:row r="4" ht="34" customHeight="1">
      <x:c r="A4" s="15" t="str">
        <x:v>ID</x:v>
      </x:c>
      <x:c r="B4" s="25" t="str">
        <x:v>Gate</x:v>
      </x:c>
      <x:c r="C4" s="25" t="str">
        <x:v>Pass condition</x:v>
      </x:c>
      <x:c r="D4" s="16" t="str">
        <x:v>Method</x:v>
      </x:c>
    </x:row>
    <x:row r="5" ht="50" customHeight="1">
      <x:c r="A5" s="27" t="str">
        <x:v>VAL-01</x:v>
      </x:c>
      <x:c r="B5" s="28" t="str">
        <x:v>Roster completeness</x:v>
      </x:c>
      <x:c r="C5" s="28" t="str">
        <x:v>Exactly 40 unique catalogue IDs and species IDs; every proposed numeric field is an integer in its allowed range.</x:v>
      </x:c>
      <x:c r="D5" s="28" t="str">
        <x:v>Automated schema test</x:v>
      </x:c>
    </x:row>
    <x:row r="6" ht="50" customHeight="1">
      <x:c r="A6" s="27" t="str">
        <x:v>VAL-02</x:v>
      </x:c>
      <x:c r="B6" s="28" t="str">
        <x:v>Speed removal</x:v>
      </x:c>
      <x:c r="C6" s="28" t="str">
        <x:v>Repository search finds no runtime read of SpeciesConfig.speed after migration; generated artifacts match the new IDL.</x:v>
      </x:c>
      <x:c r="D6" s="28" t="str">
        <x:v>rg + build diff review</x:v>
      </x:c>
    </x:row>
    <x:row r="7" ht="50" customHeight="1">
      <x:c r="A7" s="27" t="str">
        <x:v>VAL-03</x:v>
      </x:c>
      <x:c r="B7" s="28" t="str">
        <x:v>Action matrix</x:v>
      </x:c>
      <x:c r="C7" s="28" t="str">
        <x:v>All 16 Strike/Guard/Ability/Recharge pairs resolve from one snapshot and reveal together.</x:v>
      </x:c>
      <x:c r="D7" s="28" t="str">
        <x:v>Golden vectors</x:v>
      </x:c>
    </x:row>
    <x:row r="8" ht="50" customHeight="1">
      <x:c r="A8" s="27" t="str">
        <x:v>VAL-04</x:v>
      </x:c>
      <x:c r="B8" s="28" t="str">
        <x:v>Damage boundaries</x:v>
      </x:c>
      <x:c r="C8" s="28" t="str">
        <x:v>Damage remains at least 1; Guard cannot create healing; integer arithmetic cannot overflow.</x:v>
      </x:c>
      <x:c r="D8" s="28" t="str">
        <x:v>Unit/property tests</x:v>
      </x:c>
    </x:row>
    <x:row r="9" ht="50" customHeight="1">
      <x:c r="A9" s="27" t="str">
        <x:v>VAL-05</x:v>
      </x:c>
      <x:c r="B9" s="28" t="str">
        <x:v>Mana boundaries</x:v>
      </x:c>
      <x:c r="C9" s="28" t="str">
        <x:v>Exact-cost actions succeed; below-cost actions fail before lock; Recharge caps at Max Mana.</x:v>
      </x:c>
      <x:c r="D9" s="28" t="str">
        <x:v>Unit tests</x:v>
      </x:c>
    </x:row>
    <x:row r="10" ht="50" customHeight="1">
      <x:c r="A10" s="27" t="str">
        <x:v>VAL-06</x:v>
      </x:c>
      <x:c r="B10" s="28" t="str">
        <x:v>Ability catalogue</x:v>
      </x:c>
      <x:c r="C10" s="28" t="str">
        <x:v>All 40 ability IDs have implementation, display copy, timing, cost, and deterministic tests.</x:v>
      </x:c>
      <x:c r="D10" s="28" t="str">
        <x:v>Schema + parameterized tests</x:v>
      </x:c>
    </x:row>
    <x:row r="11" ht="50" customHeight="1">
      <x:c r="A11" s="27" t="str">
        <x:v>VAL-07</x:v>
      </x:c>
      <x:c r="B11" s="28" t="str">
        <x:v>Ant identity</x:v>
      </x:c>
      <x:c r="C11" s="28" t="str">
        <x:v>Ant has HP 72, DEF 22, ATK 62, Mana 8, Strike 1, Guard 1, Recharge 5, Ability 3.</x:v>
      </x:c>
      <x:c r="D11" s="28" t="str">
        <x:v>Exact-value test</x:v>
      </x:c>
    </x:row>
    <x:row r="12" ht="50" customHeight="1">
      <x:c r="A12" s="27" t="str">
        <x:v>VAL-08</x:v>
      </x:c>
      <x:c r="B12" s="28" t="str">
        <x:v>No endless defense</x:v>
      </x:c>
      <x:c r="C12" s="28" t="str">
        <x:v>Guard/Recharge policies cannot create a non-terminating match; turn cap always settles/refunds.</x:v>
      </x:c>
      <x:c r="D12" s="28" t="str">
        <x:v>Adversarial simulation</x:v>
      </x:c>
    </x:row>
    <x:row r="13" ht="50" customHeight="1">
      <x:c r="A13" s="27" t="str">
        <x:v>VAL-09</x:v>
      </x:c>
      <x:c r="B13" s="28" t="str">
        <x:v>Match length</x:v>
      </x:c>
      <x:c r="C13" s="28" t="str">
        <x:v>Seeded 3v3 median is 12-24 turns and P90 &lt;= 28 turns.</x:v>
      </x:c>
      <x:c r="D13" s="28" t="str">
        <x:v>100k+ Monte Carlo</x:v>
      </x:c>
    </x:row>
    <x:row r="14" ht="50" customHeight="1">
      <x:c r="A14" s="27" t="str">
        <x:v>VAL-10</x:v>
      </x:c>
      <x:c r="B14" s="28" t="str">
        <x:v>Fairness</x:v>
      </x:c>
      <x:c r="C14" s="28" t="str">
        <x:v>Mirrored side win-rate delta &lt;1.5 percentage points; draw rate &lt;5%.</x:v>
      </x:c>
      <x:c r="D14" s="28" t="str">
        <x:v>Mirrored simulation</x:v>
      </x:c>
    </x:row>
    <x:row r="15" ht="50" customHeight="1">
      <x:c r="A15" s="27" t="str">
        <x:v>VAL-11</x:v>
      </x:c>
      <x:c r="B15" s="28" t="str">
        <x:v>Roster spread</x:v>
      </x:c>
      <x:c r="C15" s="28" t="str">
        <x:v>Adjusted creature win rates target 45-55%; exceptions require a documented role/policy explanation.</x:v>
      </x:c>
      <x:c r="D15" s="28" t="str">
        <x:v>Per-creature report</x:v>
      </x:c>
    </x:row>
    <x:row r="16" ht="50" customHeight="1">
      <x:c r="A16" s="27" t="str">
        <x:v>VAL-12</x:v>
      </x:c>
      <x:c r="B16" s="28" t="str">
        <x:v>Action diversity</x:v>
      </x:c>
      <x:c r="C16" s="28" t="str">
        <x:v>No action exceeds 60% overall; Ability is used by every creature under at least one rational policy.</x:v>
      </x:c>
      <x:c r="D16" s="28" t="str">
        <x:v>Policy simulation</x:v>
      </x:c>
    </x:row>
    <x:row r="17" ht="50" customHeight="1">
      <x:c r="A17" s="27" t="str">
        <x:v>VAL-13</x:v>
      </x:c>
      <x:c r="B17" s="28" t="str">
        <x:v>Mana pressure</x:v>
      </x:c>
      <x:c r="C17" s="28" t="str">
        <x:v>Mana-starved forced Recharge turns remain below 15%; no positive infinite mana loop exists.</x:v>
      </x:c>
      <x:c r="D17" s="28" t="str">
        <x:v>Economy metrics</x:v>
      </x:c>
    </x:row>
    <x:row r="18" ht="50" customHeight="1">
      <x:c r="A18" s="27" t="str">
        <x:v>VAL-14</x:v>
      </x:c>
      <x:c r="B18" s="28" t="str">
        <x:v>Version safety</x:v>
      </x:c>
      <x:c r="C18" s="28" t="str">
        <x:v>Mixed v1/v2 creatures cannot enter one match; v1 ownership remains readable.</x:v>
      </x:c>
      <x:c r="D18" s="28" t="str">
        <x:v>Program + client integration</x:v>
      </x:c>
    </x:row>
    <x:row r="19" ht="50" customHeight="1">
      <x:c r="A19" s="27" t="str">
        <x:v>VAL-15</x:v>
      </x:c>
      <x:c r="B19" s="28" t="str">
        <x:v>Reconnect privacy</x:v>
      </x:c>
      <x:c r="C19" s="28" t="str">
        <x:v>Reconnect restores authoritative mana/status without exposing an opponent's locked action.</x:v>
      </x:c>
      <x:c r="D19" s="28" t="str">
        <x:v>WebSocket integration</x:v>
      </x:c>
    </x:row>
    <x:row r="20" ht="50" customHeight="1">
      <x:c r="A20" s="27" t="str">
        <x:v>VAL-16</x:v>
      </x:c>
      <x:c r="B20" s="28" t="str">
        <x:v>Mobile controls</x:v>
      </x:c>
      <x:c r="C20" s="28" t="str">
        <x:v>Four actions remain usable at 320px; touch targets are at least 48px; costs and disabled reasons are visible.</x:v>
      </x:c>
      <x:c r="D20" s="28" t="str">
        <x:v>Component/browser tests</x:v>
      </x:c>
    </x:row>
    <x:row r="21" ht="50" customHeight="1">
      <x:c r="A21" s="27" t="str">
        <x:v>VAL-17</x:v>
      </x:c>
      <x:c r="B21" s="28" t="str">
        <x:v>Reduced motion</x:v>
      </x:c>
      <x:c r="C21" s="28" t="str">
        <x:v>Resolution remains understandable with motion disabled and no information is animation-only.</x:v>
      </x:c>
      <x:c r="D21" s="28" t="str">
        <x:v>Component test</x:v>
      </x:c>
    </x:row>
    <x:row r="22" ht="50" customHeight="1">
      <x:c r="A22" s="27" t="str">
        <x:v>VAL-18</x:v>
      </x:c>
      <x:c r="B22" s="28" t="str">
        <x:v>Settlement binding</x:v>
      </x:c>
      <x:c r="C22" s="28" t="str">
        <x:v>Canonical result hash changes when an action, cost, effect, version, or event order changes.</x:v>
      </x:c>
      <x:c r="D22" s="28" t="str">
        <x:v>Hash fixture tests</x:v>
      </x:c>
    </x:row>
    <x:row r="23" ht="50" customHeight="1">
      <x:c r="A23" s="27" t="str">
        <x:v>VAL-19</x:v>
      </x:c>
      <x:c r="B23" s="28" t="str">
        <x:v>Devnet round trip</x:v>
      </x:c>
      <x:c r="C23" s="28" t="str">
        <x:v>Confirmed v2 configs are read, a full battle settles, and only the recorded winner claims.</x:v>
      </x:c>
      <x:c r="D23" s="28" t="str">
        <x:v>Explicit live Devnet run</x:v>
      </x:c>
    </x:row>
    <x:row r="27" ht="34" customHeight="1">
      <x:c r="A27" s="15" t="str">
        <x:v>Release decision</x:v>
      </x:c>
      <x:c r="B27" s="25" t="str">
        <x:v>Formula / owner</x:v>
      </x:c>
      <x:c r="C27" s="25" t="str">
        <x:v>Current result</x:v>
      </x:c>
      <x:c r="D27" s="16" t="str">
        <x:v>Meaning</x:v>
      </x:c>
    </x:row>
    <x:row r="28">
      <x:c r="A28" t="str">
        <x:v>Roster range checks</x:v>
      </x:c>
      <x:c r="B28" t="str">
        <x:v>Creature Balance review flags</x:v>
      </x:c>
      <x:c r="C28" s="37" t="n">
        <x:f>COUNTIF('Creature Balance'!V6:V45,"CHECK")</x:f>
        <x:v>0</x:v>
      </x:c>
      <x:c r="D28" t="str">
        <x:v>All must be OK</x:v>
      </x:c>
    </x:row>
    <x:row r="29">
      <x:c r="A29" t="str">
        <x:v>Backlog P0 remaining</x:v>
      </x:c>
      <x:c r="B29" t="str">
        <x:v>Backlog priority/status</x:v>
      </x:c>
      <x:c r="C29" s="37" t="n">
        <x:f>COUNTIFS(Backlog!B5:B29,"P0",Backlog!H5:H29,"&lt;&gt;Done")</x:f>
        <x:v>0</x:v>
      </x:c>
      <x:c r="D29" t="str">
        <x:v>Must be 0 before activation</x:v>
      </x:c>
    </x:row>
    <x:row r="30">
      <x:c r="A30" t="str">
        <x:v>Validation evidence</x:v>
      </x:c>
      <x:c r="B30" t="str">
        <x:v>QA / Balance</x:v>
      </x:c>
      <x:c r="C30" s="37" t="str">
        <x:v>Passed locally</x:v>
      </x:c>
      <x:c r="D30" t="str">
        <x:v>Devnet verification remains</x:v>
      </x:c>
    </x:row>
    <x:row r="31">
      <x:c r="A31" t="str">
        <x:v>Candidate activation</x:v>
      </x:c>
      <x:c r="B31" t="str">
        <x:v>Release owner</x:v>
      </x:c>
      <x:c r="C31" s="37" t="str">
        <x:f>IF(AND(C28=0,C29=0,C30="Passed"),"READY","BLOCKED")</x:f>
        <x:v>BLOCKED</x:v>
      </x:c>
      <x:c r="D31" t="str">
        <x:v>Blocked until every gate passes</x:v>
      </x:c>
    </x:row>
  </x:sheetData>
  <x:mergeCells>
    <x:mergeCell ref="A2:D2"/>
  </x:mergeCells>
  <x:conditionalFormatting sqref="C31:C31">
    <x:cfRule type="containsText" dxfId="3" priority="1" operator="containsText" text="BLOCKED"/>
  </x:conditionalFormatting>
  <x:pageMargins left="0.7" right="0.7" top="0.75" bottom="0.75" header="0.3" footer="0.3"/>
  <x:tableParts count="1">
    <x:tablePart xmlns:r="http://schemas.openxmlformats.org/officeDocument/2006/relationships" r:id="Rffcba0e65ec846b5"/>
  </x:tableParts>
</x:worksheet>
</file>

<file path=xl/worksheets/sheet6.xml><?xml version="1.0" encoding="utf-8"?>
<x:worksheet xmlns:x="http://schemas.openxmlformats.org/spreadsheetml/2006/main">
  <x:sheetPr>
    <x:tabColor rgb="FF718096"/>
  </x:sheetPr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68" hidden="0" customWidth="1"/>
    <x:col min="4" max="4" width="42" hidden="0" customWidth="1"/>
    <x:col min="5" max="5" width="14" hidden="0" customWidth="1"/>
    <x:col min="6" max="6" width="20" hidden="0" customWidth="1"/>
  </x:cols>
  <x:sheetData>
    <x:row r="2" ht="26" customHeight="1">
      <x:c r="A2" s="2" t="str">
        <x:v>Repository Source Snapshot</x:v>
      </x:c>
    </x:row>
    <x:row r="3">
      <x:c r="A3" s="3"/>
      <x:c r="B3" s="3"/>
      <x:c r="C3" s="3"/>
      <x:c r="D3" s="3"/>
      <x:c r="E3" s="3"/>
      <x:c r="F3" s="3"/>
    </x:row>
    <x:row r="5" ht="34" customHeight="1">
      <x:c r="A5" s="15" t="str">
        <x:v>Source</x:v>
      </x:c>
      <x:c r="B5" s="25" t="str">
        <x:v>Repository path</x:v>
      </x:c>
      <x:c r="C5" s="25" t="str">
        <x:v>Observed truth</x:v>
      </x:c>
      <x:c r="D5" s="25" t="str">
        <x:v>Used for</x:v>
      </x:c>
      <x:c r="E5" s="25" t="str">
        <x:v>As of</x:v>
      </x:c>
      <x:c r="F5" s="16" t="str">
        <x:v>Status</x:v>
      </x:c>
    </x:row>
    <x:row r="6" ht="52" customHeight="1">
      <x:c r="A6" s="28" t="str">
        <x:v>Onchain constants</x:v>
      </x:c>
      <x:c r="B6" s="28" t="str">
        <x:v>programs/wildquest/src/constants.rs</x:v>
      </x:c>
      <x:c r="C6" s="28" t="str">
        <x:v>40 IDs; v2 tuple stores HP/ATK/DEF/Mana/action economy/ability</x:v>
      </x:c>
      <x:c r="D6" s="28" t="str">
        <x:v>Implemented balance and exact roster count</x:v>
      </x:c>
      <x:c r="E6" s="28" t="str">
        <x:v>2026-09-15</x:v>
      </x:c>
      <x:c r="F6" s="28" t="str">
        <x:v>Implemented</x:v>
      </x:c>
    </x:row>
    <x:row r="7" ht="52" customHeight="1">
      <x:c r="A7" s="28" t="str">
        <x:v>Onchain account</x:v>
      </x:c>
      <x:c r="B7" s="28" t="str">
        <x:v>programs/wildquest/src/state.rs</x:v>
      </x:c>
      <x:c r="C7" s="28" t="str">
        <x:v>SpeciesConfig contains mana and action fields; speed and shield are removed</x:v>
      </x:c>
      <x:c r="D7" s="28" t="str">
        <x:v>Account layout</x:v>
      </x:c>
      <x:c r="E7" s="28" t="str">
        <x:v>2026-09-15</x:v>
      </x:c>
      <x:c r="F7" s="28" t="str">
        <x:v>Implemented</x:v>
      </x:c>
    </x:row>
    <x:row r="8" ht="52" customHeight="1">
      <x:c r="A8" s="28" t="str">
        <x:v>Species initialization</x:v>
      </x:c>
      <x:c r="B8" s="28" t="str">
        <x:v>programs/wildquest/src/instructions/initialize_species_config.rs</x:v>
      </x:c>
      <x:c r="C8" s="28" t="str">
        <x:v>Initializer writes all v2 stats for the 40 supported IDs</x:v>
      </x:c>
      <x:c r="D8" s="28" t="str">
        <x:v>Versioned initialization</x:v>
      </x:c>
      <x:c r="E8" s="28" t="str">
        <x:v>2026-09-15</x:v>
      </x:c>
      <x:c r="F8" s="28" t="str">
        <x:v>Implemented</x:v>
      </x:c>
    </x:row>
    <x:row r="9" ht="52" customHeight="1">
      <x:c r="A9" s="28" t="str">
        <x:v>Realtime rules</x:v>
      </x:c>
      <x:c r="B9" s="28" t="str">
        <x:v>app/lib/simultaneous-battle.ts</x:v>
      </x:c>
      <x:c r="C9" s="28" t="str">
        <x:v>Per-creature mana, four actions, temporary Guard, and 40 deterministic abilities</x:v>
      </x:c>
      <x:c r="D9" s="28" t="str">
        <x:v>Authoritative gameplay</x:v>
      </x:c>
      <x:c r="E9" s="28" t="str">
        <x:v>2026-09-15</x:v>
      </x:c>
      <x:c r="F9" s="28" t="str">
        <x:v>Implemented</x:v>
      </x:c>
    </x:row>
    <x:row r="10" ht="52" customHeight="1">
      <x:c r="A10" s="28" t="str">
        <x:v>Realtime authority</x:v>
      </x:c>
      <x:c r="B10" s="28" t="str">
        <x:v>app/lib/battle-room.ts</x:v>
      </x:c>
      <x:c r="C10" s="28" t="str">
        <x:v>Private choices, timeout resolution, missed-turn forfeit, settlement retry</x:v>
      </x:c>
      <x:c r="D10" s="28" t="str">
        <x:v>Preserved lifecycle rules</x:v>
      </x:c>
      <x:c r="E10" s="28" t="str">
        <x:v>2026-09-15</x:v>
      </x:c>
      <x:c r="F10" s="28" t="str">
        <x:v>Read</x:v>
      </x:c>
    </x:row>
    <x:row r="11" ht="52" customHeight="1">
      <x:c r="A11" s="28" t="str">
        <x:v>Catalogue</x:v>
      </x:c>
      <x:c r="B11" s="28" t="str">
        <x:v>supabase/migrations/20260910120000_expand_playable_species.sql</x:v>
      </x:c>
      <x:c r="C11" s="28" t="str">
        <x:v>Species names, rarity, descriptive battle roles</x:v>
      </x:c>
      <x:c r="D11" s="28" t="str">
        <x:v>Names and rarity</x:v>
      </x:c>
      <x:c r="E11" s="28" t="str">
        <x:v>2026-09-15</x:v>
      </x:c>
      <x:c r="F11" s="28" t="str">
        <x:v>Read</x:v>
      </x:c>
    </x:row>
    <x:row r="12" ht="52" customHeight="1">
      <x:c r="A12" s="28" t="str">
        <x:v>Roster extension</x:v>
      </x:c>
      <x:c r="B12" s="28" t="str">
        <x:v>supabase/migrations/20260911070000_add_vietnam_insects_and_lizard.sql</x:v>
      </x:c>
      <x:c r="C12" s="28" t="str">
        <x:v>Adds IDs 1037-1040</x:v>
      </x:c>
      <x:c r="D12" s="28" t="str">
        <x:v>Names and rarity</x:v>
      </x:c>
      <x:c r="E12" s="28" t="str">
        <x:v>2026-09-15</x:v>
      </x:c>
      <x:c r="F12" s="28" t="str">
        <x:v>Read</x:v>
      </x:c>
    </x:row>
    <x:row r="13" ht="52" customHeight="1">
      <x:c r="A13" s="28" t="str">
        <x:v>Prior approved proposal</x:v>
      </x:c>
      <x:c r="B13" s="28" t="str">
        <x:v>outputs/simultaneous-combat-backlog-20260911/WildQuest-Simultaneous-Turn-Combat-Backlog.xlsx</x:v>
      </x:c>
      <x:c r="C13" s="28" t="str">
        <x:v>5-second simultaneous prototype and acceptance boundaries</x:v>
      </x:c>
      <x:c r="D13" s="28" t="str">
        <x:v>Continuity for rules</x:v>
      </x:c>
      <x:c r="E13" s="28" t="str">
        <x:v>2026-09-15</x:v>
      </x:c>
      <x:c r="F13" s="28" t="str">
        <x:v>Historical proposal</x:v>
      </x:c>
    </x:row>
    <x:row r="14" ht="52" customHeight="1"/>
    <x:row r="15" ht="52" customHeight="1"/>
    <x:row r="16" ht="52" customHeight="1">
      <x:c r="A16" s="15" t="str">
        <x:v>Interpretation</x:v>
      </x:c>
      <x:c r="B16" s="25" t="str">
        <x:v>Decision</x:v>
      </x:c>
      <x:c r="C16" s="25" t="str">
        <x:v>Why</x:v>
      </x:c>
      <x:c r="D16" s="25" t="str">
        <x:v>Implementation implication</x:v>
      </x:c>
      <x:c r="E16" s="25" t="str">
        <x:v>Risk</x:v>
      </x:c>
      <x:c r="F16" s="16" t="str">
        <x:v>Resolution</x:v>
      </x:c>
    </x:row>
    <x:row r="17" ht="52" customHeight="1">
      <x:c r="A17" s="29" t="str">
        <x:v>Database wording</x:v>
      </x:c>
      <x:c r="B17" s="29" t="str">
        <x:v>Battle stats are authoritative in Solana SpeciesConfig, while Supabase stores catalogue role/copy.</x:v>
      </x:c>
      <x:c r="C17" s="29" t="str">
        <x:v>Matches repository boundaries.</x:v>
      </x:c>
      <x:c r="D17" s="29" t="str">
        <x:v>Do not add authoritative mana stats only to Supabase.</x:v>
      </x:c>
      <x:c r="E17" s="29" t="str">
        <x:v>Two sources drift</x:v>
      </x:c>
      <x:c r="F17" s="29" t="str">
        <x:v>Generate/verify v2 configs from one canonical table.</x:v>
      </x:c>
    </x:row>
    <x:row r="18" ht="52" customHeight="1">
      <x:c r="A18" s="29" t="str">
        <x:v>Version migration</x:v>
      </x:c>
      <x:c r="B18" s="29" t="str">
        <x:v>Existing v1 ownership remains intact and can be upgraded with an owner signature.</x:v>
      </x:c>
      <x:c r="C18" s="29" t="str">
        <x:v>Creature PDAs do not change between balance versions.</x:v>
      </x:c>
      <x:c r="D18" s="29" t="str">
        <x:v>Activate balance v2 only after all SpeciesConfig accounts exist.</x:v>
      </x:c>
      <x:c r="E18" s="29" t="str">
        <x:v>Partial rollout</x:v>
      </x:c>
      <x:c r="F18" s="29" t="str">
        <x:v>Program rejects mismatched creatures and matches.</x:v>
      </x:c>
    </x:row>
    <x:row r="19" ht="52" customHeight="1">
      <x:c r="A19" s="29" t="str">
        <x:v>Balance confidence</x:v>
      </x:c>
      <x:c r="B19" s="29" t="str">
        <x:v>A deterministic 20,000-match run produced 21 median turns and 44.8%-54.9% creature win rates.</x:v>
      </x:c>
      <x:c r="C19" s="29" t="str">
        <x:v>One scripted policy cannot prove a live metagame.</x:v>
      </x:c>
      <x:c r="D19" s="29" t="str">
        <x:v>Keep telemetry and Devnet validation before production activation.</x:v>
      </x:c>
      <x:c r="E19" s="29" t="str">
        <x:v>Policy bias</x:v>
      </x:c>
      <x:c r="F19" s="29" t="str">
        <x:v>Tune again from live aggregate evidence.</x:v>
      </x:c>
    </x:row>
  </x:sheetData>
  <x:mergeCells>
    <x:mergeCell ref="A2:F2"/>
  </x:mergeCells>
  <x:pageMargins left="0.7" right="0.7" top="0.75" bottom="0.75" header="0.3" footer="0.3"/>
</x:worksheet>
</file>