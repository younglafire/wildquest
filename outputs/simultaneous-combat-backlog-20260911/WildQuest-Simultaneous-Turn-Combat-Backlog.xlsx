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6522d1b69241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acklog" sheetId="1" r:id="R0114b3046df040ea"/>
    <x:sheet xmlns:r="http://schemas.openxmlformats.org/officeDocument/2006/relationships" name="Combat Rules" sheetId="2" r:id="R2b847f42d2b9456e"/>
    <x:sheet xmlns:r="http://schemas.openxmlformats.org/officeDocument/2006/relationships" name="UX and Sync" sheetId="3" r:id="R89fbeb3d5beb4f37"/>
    <x:sheet xmlns:r="http://schemas.openxmlformats.org/officeDocument/2006/relationships" name="Acceptance Tests" sheetId="4" r:id="R2a22e897416944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"/>
    <x:numFmt numFmtId="201" formatCode="#,##0"/>
  </x:numFmts>
  <x:fonts count="8">
    <x:font>
      <x:sz val="11"/>
      <x:name val="Carlito"/>
    </x:font>
    <x:font>
      <x:sz val="10"/>
      <x:color rgb="FF172033"/>
      <x:name val="Arial"/>
    </x:font>
    <x:font>
      <x:b/>
      <x:sz val="16"/>
      <x:color rgb="FF172033"/>
      <x:name val="Arial"/>
    </x:font>
    <x:font>
      <x:i/>
      <x:sz val="10"/>
      <x:color rgb="FF667085"/>
      <x:name val="Arial"/>
    </x:font>
    <x:font>
      <x:b/>
      <x:sz val="10"/>
      <x:color rgb="FF172033"/>
      <x:name val="Arial"/>
    </x:font>
    <x:font>
      <x:b/>
      <x:sz val="12"/>
      <x:color rgb="FF166534"/>
      <x:name val="Arial"/>
    </x:font>
    <x:font>
      <x:b/>
      <x:sz val="10"/>
      <x:color rgb="FFFFFFFF"/>
      <x:name val="Arial"/>
    </x:font>
    <x:font>
      <x:b/>
      <x:sz val="10"/>
      <x:color rgb="FF166534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2F4F7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166534"/>
      </x:patternFill>
    </x:fill>
    <x:fill>
      <x:patternFill patternType="solid">
        <x:fgColor rgb="FFF8FAFC"/>
      </x:patternFill>
    </x:fill>
  </x:fills>
  <x:borders count="15">
    <x:border/>
    <x:border>
      <x:bottom style="thin">
        <x:color rgb="FFD0D5DD"/>
      </x:bottom>
    </x:border>
    <x:border>
      <x:left style="thin">
        <x:color rgb="FF93C5FD"/>
      </x:left>
      <x:top style="thin">
        <x:color rgb="FF93C5FD"/>
      </x:top>
    </x:border>
    <x:border>
      <x:top style="thin">
        <x:color rgb="FF93C5FD"/>
      </x:top>
    </x:border>
    <x:border>
      <x:right style="thin">
        <x:color rgb="FF93C5FD"/>
      </x:right>
      <x:top style="thin">
        <x:color rgb="FF93C5FD"/>
      </x:top>
    </x:border>
    <x:border>
      <x:left style="thin">
        <x:color rgb="FF93C5FD"/>
      </x:left>
    </x:border>
    <x:border>
      <x:right style="thin">
        <x:color rgb="FF93C5FD"/>
      </x:right>
    </x:border>
    <x:border>
      <x:left style="thin">
        <x:color rgb="FF93C5FD"/>
      </x:left>
      <x:bottom style="thin">
        <x:color rgb="FF93C5FD"/>
      </x:bottom>
    </x:border>
    <x:border>
      <x:bottom style="thin">
        <x:color rgb="FF93C5FD"/>
      </x:bottom>
    </x:border>
    <x:border>
      <x:right style="thin">
        <x:color rgb="FF93C5FD"/>
      </x:right>
      <x:bottom style="thin">
        <x:color rgb="FF93C5FD"/>
      </x:bottom>
    </x:border>
    <x:border>
      <x:left style="thin">
        <x:color rgb="FF166534"/>
      </x:left>
      <x:top style="thin">
        <x:color rgb="FF166534"/>
      </x:top>
      <x:bottom style="thin">
        <x:color rgb="FF166534"/>
      </x:bottom>
    </x:border>
    <x:border>
      <x:top style="thin">
        <x:color rgb="FF166534"/>
      </x:top>
      <x:bottom style="thin">
        <x:color rgb="FF166534"/>
      </x:bottom>
    </x:border>
    <x:border>
      <x:right style="thin">
        <x:color rgb="FF166534"/>
      </x:right>
      <x:top style="thin">
        <x:color rgb="FF166534"/>
      </x:top>
      <x:bottom style="thin">
        <x:color rgb="FF166534"/>
      </x:bottom>
    </x:border>
    <x:border>
      <x:bottom style="thin">
        <x:color rgb="FFE4E7EC"/>
      </x:bottom>
    </x:border>
    <x:border>
      <x:top style="thin">
        <x:color rgb="FFE4E7EC"/>
      </x:top>
      <x:bottom style="thin">
        <x:color rgb="FFE4E7EC"/>
      </x:bottom>
    </x:border>
  </x:borders>
  <x:cellStyleXfs count="1">
    <x:xf numFmtId="0" fontId="0" fillId="0" borderId="0"/>
  </x:cellStyleXfs>
  <x:cellXfs count="8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right"/>
    </x:xf>
    <x:xf numFmtId="200" fontId="5" fillId="3" borderId="0" xfId="0" applyNumberFormat="1" applyFont="1" applyFill="1" applyBorder="1" applyAlignment="1">
      <x:alignment horizontal="right"/>
    </x:xf>
    <x:xf numFmtId="0" fontId="1" fillId="4" borderId="0" xfId="0" applyNumberFormat="1" applyFont="1" applyFill="1" applyBorder="1"/>
    <x:xf numFmtId="0" fontId="1" fillId="4" borderId="2" xfId="0" applyNumberFormat="1" applyFont="1" applyFill="1" applyBorder="1"/>
    <x:xf numFmtId="0" fontId="1" fillId="4" borderId="3" xfId="0" applyNumberFormat="1" applyFont="1" applyFill="1" applyBorder="1"/>
    <x:xf numFmtId="0" fontId="1" fillId="4" borderId="4" xfId="0" applyNumberFormat="1" applyFont="1" applyFill="1" applyBorder="1"/>
    <x:xf numFmtId="0" fontId="1" fillId="4" borderId="5" xfId="0" applyNumberFormat="1" applyFont="1" applyFill="1" applyBorder="1"/>
    <x:xf numFmtId="0" fontId="1" fillId="4" borderId="6" xfId="0" applyNumberFormat="1" applyFont="1" applyFill="1" applyBorder="1"/>
    <x:xf numFmtId="0" fontId="1" fillId="4" borderId="7" xfId="0" applyNumberFormat="1" applyFont="1" applyFill="1" applyBorder="1"/>
    <x:xf numFmtId="0" fontId="1" fillId="4" borderId="8" xfId="0" applyNumberFormat="1" applyFont="1" applyFill="1" applyBorder="1"/>
    <x:xf numFmtId="0" fontId="1" fillId="4" borderId="9" xfId="0" applyNumberFormat="1" applyFont="1" applyFill="1" applyBorder="1"/>
    <x:xf numFmtId="0" fontId="1" fillId="4" borderId="2" xfId="0" applyNumberFormat="1" applyFont="1" applyFill="1" applyBorder="1" applyAlignment="1">
      <x:alignment wrapText="1"/>
    </x:xf>
    <x:xf numFmtId="0" fontId="1" fillId="4" borderId="3" xfId="0" applyNumberFormat="1" applyFont="1" applyFill="1" applyBorder="1" applyAlignment="1">
      <x:alignment wrapText="1"/>
    </x:xf>
    <x:xf numFmtId="0" fontId="1" fillId="4" borderId="4" xfId="0" applyNumberFormat="1" applyFont="1" applyFill="1" applyBorder="1" applyAlignment="1">
      <x:alignment wrapText="1"/>
    </x:xf>
    <x:xf numFmtId="0" fontId="1" fillId="4" borderId="5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wrapText="1"/>
    </x:xf>
    <x:xf numFmtId="0" fontId="1" fillId="4" borderId="6" xfId="0" applyNumberFormat="1" applyFont="1" applyFill="1" applyBorder="1" applyAlignment="1">
      <x:alignment wrapText="1"/>
    </x:xf>
    <x:xf numFmtId="0" fontId="1" fillId="4" borderId="7" xfId="0" applyNumberFormat="1" applyFont="1" applyFill="1" applyBorder="1" applyAlignment="1">
      <x:alignment wrapText="1"/>
    </x:xf>
    <x:xf numFmtId="0" fontId="1" fillId="4" borderId="8" xfId="0" applyNumberFormat="1" applyFont="1" applyFill="1" applyBorder="1" applyAlignment="1">
      <x:alignment wrapText="1"/>
    </x:xf>
    <x:xf numFmtId="0" fontId="1" fillId="4" borderId="9" xfId="0" applyNumberFormat="1" applyFont="1" applyFill="1" applyBorder="1" applyAlignment="1">
      <x:alignment wrapText="1"/>
    </x:xf>
    <x:xf numFmtId="0" fontId="1" fillId="4" borderId="2" xfId="0" applyNumberFormat="1" applyFont="1" applyFill="1" applyBorder="1" applyAlignment="1">
      <x:alignment vertical="center" wrapText="1"/>
    </x:xf>
    <x:xf numFmtId="0" fontId="1" fillId="4" borderId="3" xfId="0" applyNumberFormat="1" applyFont="1" applyFill="1" applyBorder="1" applyAlignment="1">
      <x:alignment vertical="center" wrapText="1"/>
    </x:xf>
    <x:xf numFmtId="0" fontId="1" fillId="4" borderId="4" xfId="0" applyNumberFormat="1" applyFont="1" applyFill="1" applyBorder="1" applyAlignment="1">
      <x:alignment vertical="center" wrapText="1"/>
    </x:xf>
    <x:xf numFmtId="0" fontId="1" fillId="4" borderId="5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6" xfId="0" applyNumberFormat="1" applyFont="1" applyFill="1" applyBorder="1" applyAlignment="1">
      <x:alignment vertical="center" wrapText="1"/>
    </x:xf>
    <x:xf numFmtId="0" fontId="1" fillId="4" borderId="7" xfId="0" applyNumberFormat="1" applyFont="1" applyFill="1" applyBorder="1" applyAlignment="1">
      <x:alignment vertical="center" wrapText="1"/>
    </x:xf>
    <x:xf numFmtId="0" fontId="1" fillId="4" borderId="8" xfId="0" applyNumberFormat="1" applyFont="1" applyFill="1" applyBorder="1" applyAlignment="1">
      <x:alignment vertical="center" wrapText="1"/>
    </x:xf>
    <x:xf numFmtId="0" fontId="1" fillId="4" borderId="9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10" xfId="0" applyNumberFormat="1" applyFont="1" applyFill="1" applyBorder="1"/>
    <x:xf numFmtId="0" fontId="6" fillId="5" borderId="11" xfId="0" applyNumberFormat="1" applyFont="1" applyFill="1" applyBorder="1"/>
    <x:xf numFmtId="0" fontId="6" fillId="5" borderId="12" xfId="0" applyNumberFormat="1" applyFont="1" applyFill="1" applyBorder="1"/>
    <x:xf numFmtId="0" fontId="6" fillId="5" borderId="10" xfId="0" applyNumberFormat="1" applyFont="1" applyFill="1" applyBorder="1" applyAlignment="1">
      <x:alignment wrapText="1"/>
    </x:xf>
    <x:xf numFmtId="0" fontId="6" fillId="5" borderId="11" xfId="0" applyNumberFormat="1" applyFont="1" applyFill="1" applyBorder="1" applyAlignment="1">
      <x:alignment wrapText="1"/>
    </x:xf>
    <x:xf numFmtId="0" fontId="6" fillId="5" borderId="12" xfId="0" applyNumberFormat="1" applyFont="1" applyFill="1" applyBorder="1" applyAlignment="1">
      <x:alignment wrapText="1"/>
    </x:xf>
    <x:xf numFmtId="0" fontId="6" fillId="5" borderId="10" xfId="0" applyNumberFormat="1" applyFont="1" applyFill="1" applyBorder="1" applyAlignment="1">
      <x:alignment vertical="center" wrapText="1"/>
    </x:xf>
    <x:xf numFmtId="0" fontId="6" fillId="5" borderId="11" xfId="0" applyNumberFormat="1" applyFont="1" applyFill="1" applyBorder="1" applyAlignment="1">
      <x:alignment vertical="center" wrapText="1"/>
    </x:xf>
    <x:xf numFmtId="0" fontId="6" fillId="5" borderId="12" xfId="0" applyNumberFormat="1" applyFont="1" applyFill="1" applyBorder="1" applyAlignment="1">
      <x:alignment vertical="center" wrapText="1"/>
    </x:xf>
    <x:xf numFmtId="0" fontId="1" fillId="0" borderId="13" xfId="0" applyNumberFormat="1" applyFont="1" applyFill="1" applyBorder="1"/>
    <x:xf numFmtId="0" fontId="1" fillId="0" borderId="14" xfId="0" applyNumberFormat="1" applyFont="1" applyFill="1" applyBorder="1"/>
    <x:xf numFmtId="0" fontId="1" fillId="0" borderId="13" xfId="0" applyNumberFormat="1" applyFont="1" applyFill="1" applyBorder="1" applyAlignment="1">
      <x:alignment wrapText="1"/>
    </x:xf>
    <x:xf numFmtId="0" fontId="1" fillId="0" borderId="14" xfId="0" applyNumberFormat="1" applyFont="1" applyFill="1" applyBorder="1" applyAlignment="1">
      <x:alignment wrapText="1"/>
    </x:xf>
    <x:xf numFmtId="0" fontId="1" fillId="0" borderId="13" xfId="0" applyNumberFormat="1" applyFont="1" applyFill="1" applyBorder="1" applyAlignment="1">
      <x:alignment vertical="top" wrapText="1"/>
    </x:xf>
    <x:xf numFmtId="0" fontId="1" fillId="0" borderId="14" xfId="0" applyNumberFormat="1" applyFont="1" applyFill="1" applyBorder="1" applyAlignment="1">
      <x:alignment vertical="top" wrapText="1"/>
    </x:xf>
    <x:xf numFmtId="200" fontId="1" fillId="0" borderId="13" xfId="0" applyNumberFormat="1" applyFont="1" applyFill="1" applyBorder="1" applyAlignment="1">
      <x:alignment vertical="top" wrapText="1"/>
    </x:xf>
    <x:xf numFmtId="200" fontId="1" fillId="0" borderId="14" xfId="0" applyNumberFormat="1" applyFont="1" applyFill="1" applyBorder="1" applyAlignment="1">
      <x:alignment vertical="top" wrapText="1"/>
    </x:xf>
    <x:xf numFmtId="0" fontId="1" fillId="0" borderId="13" xfId="0" applyNumberFormat="1" applyFont="1" applyFill="1" applyBorder="1" applyAlignment="1">
      <x:alignment horizontal="center" vertical="top" wrapText="1"/>
    </x:xf>
    <x:xf numFmtId="0" fontId="1" fillId="0" borderId="14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horizontal="right" vertical="center"/>
    </x:xf>
    <x:xf numFmtId="0" fontId="1" fillId="0" borderId="13" xfId="0" applyNumberFormat="1" applyFont="1" applyFill="1" applyBorder="1" applyAlignment="1">
      <x:alignment vertical="center" wrapText="1"/>
    </x:xf>
    <x:xf numFmtId="200" fontId="1" fillId="0" borderId="13" xfId="0" applyNumberFormat="1" applyFont="1" applyFill="1" applyBorder="1" applyAlignment="1">
      <x:alignment vertical="center" wrapText="1"/>
    </x:xf>
    <x:xf numFmtId="0" fontId="1" fillId="0" borderId="13" xfId="0" applyNumberFormat="1" applyFont="1" applyFill="1" applyBorder="1" applyAlignment="1">
      <x:alignment horizontal="center" vertical="center" wrapText="1"/>
    </x:xf>
    <x:xf numFmtId="0" fontId="1" fillId="0" borderId="14" xfId="0" applyNumberFormat="1" applyFont="1" applyFill="1" applyBorder="1" applyAlignment="1">
      <x:alignment vertical="center" wrapText="1"/>
    </x:xf>
    <x:xf numFmtId="200" fontId="1" fillId="0" borderId="14" xfId="0" applyNumberFormat="1" applyFont="1" applyFill="1" applyBorder="1" applyAlignment="1">
      <x:alignment vertical="center" wrapText="1"/>
    </x:xf>
    <x:xf numFmtId="0" fontId="1" fillId="0" borderId="14" xfId="0" applyNumberFormat="1" applyFont="1" applyFill="1" applyBorder="1" applyAlignment="1">
      <x:alignment horizontal="center" vertical="center" wrapText="1"/>
    </x:xf>
    <x:xf numFmtId="0" fontId="1" fillId="3" borderId="13" xfId="0" applyNumberFormat="1" applyFont="1" applyFill="1" applyBorder="1" applyAlignment="1">
      <x:alignment vertical="top" wrapText="1"/>
    </x:xf>
    <x:xf numFmtId="0" fontId="1" fillId="3" borderId="14" xfId="0" applyNumberFormat="1" applyFont="1" applyFill="1" applyBorder="1" applyAlignment="1">
      <x:alignment vertical="top" wrapText="1"/>
    </x:xf>
    <x:xf numFmtId="0" fontId="7" fillId="3" borderId="13" xfId="0" applyNumberFormat="1" applyFont="1" applyFill="1" applyBorder="1" applyAlignment="1">
      <x:alignment vertical="top" wrapText="1"/>
    </x:xf>
    <x:xf numFmtId="0" fontId="7" fillId="3" borderId="14" xfId="0" applyNumberFormat="1" applyFont="1" applyFill="1" applyBorder="1" applyAlignment="1">
      <x:alignment vertical="top" wrapText="1"/>
    </x:xf>
    <x:xf numFmtId="201" fontId="7" fillId="3" borderId="13" xfId="0" applyNumberFormat="1" applyFont="1" applyFill="1" applyBorder="1" applyAlignment="1">
      <x:alignment vertical="top" wrapText="1"/>
    </x:xf>
    <x:xf numFmtId="201" fontId="7" fillId="3" borderId="14" xfId="0" applyNumberFormat="1" applyFont="1" applyFill="1" applyBorder="1" applyAlignment="1">
      <x:alignment vertical="top" wrapText="1"/>
    </x:xf>
    <x:xf numFmtId="0" fontId="1" fillId="4" borderId="13" xfId="0" applyNumberFormat="1" applyFont="1" applyFill="1" applyBorder="1" applyAlignment="1">
      <x:alignment vertical="top" wrapText="1"/>
    </x:xf>
    <x:xf numFmtId="0" fontId="1" fillId="4" borderId="14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5"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725f8d751843e9" /><Relationship Type="http://schemas.openxmlformats.org/officeDocument/2006/relationships/theme" Target="/xl/theme/theme1.xml" Id="Ree143d4627a5439b" /><Relationship Type="http://schemas.openxmlformats.org/officeDocument/2006/relationships/sharedStrings" Target="/xl/sharedStrings.xml" Id="Rf8795fea0d2a458d" /><Relationship Type="http://schemas.openxmlformats.org/officeDocument/2006/relationships/worksheet" Target="/xl/worksheets/sheet1.xml" Id="R0114b3046df040ea" /><Relationship Type="http://schemas.openxmlformats.org/officeDocument/2006/relationships/worksheet" Target="/xl/worksheets/sheet2.xml" Id="R2b847f42d2b9456e" /><Relationship Type="http://schemas.openxmlformats.org/officeDocument/2006/relationships/worksheet" Target="/xl/worksheets/sheet3.xml" Id="R89fbeb3d5beb4f37" /><Relationship Type="http://schemas.openxmlformats.org/officeDocument/2006/relationships/worksheet" Target="/xl/worksheets/sheet4.xml" Id="R2a22e89741694462" /></Relationships>
</file>

<file path=xl/tables/table1.xml><?xml version="1.0" encoding="utf-8"?>
<x:table xmlns:x="http://schemas.openxmlformats.org/spreadsheetml/2006/main" id="1" name="CombatBacklogTable" displayName="CombatBacklogTable" ref="A11:J41" headerRowCount="1" totalsRowCount="0" totalsRowShown="0">
  <x:tableColumns count="10">
    <x:tableColumn id="1" name="Day"/>
    <x:tableColumn id="2" name="ID"/>
    <x:tableColumn id="3" name="Area"/>
    <x:tableColumn id="4" name="Task"/>
    <x:tableColumn id="5" name="Done when"/>
    <x:tableColumn id="6" name="Hours"/>
    <x:tableColumn id="7" name="Depends on"/>
    <x:tableColumn id="8" name="Priority"/>
    <x:tableColumn id="9" name="Status"/>
    <x:tableColumn id="10" name="Vertical slice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CombatAcceptanceTable" displayName="CombatAcceptanceTable" ref="A6:H30" headerRowCount="1" totalsRowCount="0" totalsRowShown="0">
  <x:tableColumns count="8">
    <x:tableColumn id="1" name="ID"/>
    <x:tableColumn id="2" name="Layer"/>
    <x:tableColumn id="3" name="Given"/>
    <x:tableColumn id="4" name="When"/>
    <x:tableColumn id="5" name="Expected"/>
    <x:tableColumn id="6" name="Priority"/>
    <x:tableColumn id="7" name="Automate"/>
    <x:tableColumn id="8" name="Statu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ded044d45b14cd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c18e43dbd8a840d2" /></Relationships>
</file>

<file path=xl/worksheets/sheet1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3" hidden="0" customWidth="1"/>
    <x:col min="2" max="2" width="11" hidden="0" customWidth="1"/>
    <x:col min="3" max="3" width="15" hidden="0" customWidth="1"/>
    <x:col min="4" max="4" width="32" hidden="0" customWidth="1"/>
    <x:col min="5" max="5" width="58" hidden="0" customWidth="1"/>
    <x:col min="6" max="6" width="9" hidden="0" customWidth="1"/>
    <x:col min="7" max="7" width="18" hidden="0" customWidth="1"/>
    <x:col min="8" max="8" width="13" hidden="0" customWidth="1"/>
    <x:col min="9" max="9" width="13" hidden="0" customWidth="1"/>
    <x:col min="10" max="10" width="13" hidden="0" customWidth="1"/>
  </x:cols>
  <x:sheetData>
    <x:row r="1">
      <x:c r="A1" s="59"/>
      <x:c r="B1" s="59"/>
      <x:c r="C1" s="59"/>
      <x:c r="D1" s="59"/>
      <x:c r="E1" s="59"/>
      <x:c r="F1" s="59"/>
      <x:c r="G1" s="59"/>
      <x:c r="H1" s="59"/>
      <x:c r="I1" s="59"/>
      <x:c r="J1" s="59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60" t="str">
        <x:v>WildQuest simultaneous-turn combat backlog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61" t="str">
        <x:v>Five-day vertical slice first. The live battle server owns turn state; Solana owns escrow and settlement.</x:v>
      </x:c>
      <x:c r="B3" s="59"/>
      <x:c r="C3" s="59"/>
      <x:c r="D3" s="59"/>
      <x:c r="E3" s="59"/>
      <x:c r="F3" s="59"/>
      <x:c r="G3" s="59"/>
      <x:c r="H3" s="59"/>
      <x:c r="I3" s="59"/>
      <x:c r="J3" s="59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62"/>
      <x:c r="B4" s="62"/>
      <x:c r="C4" s="62"/>
      <x:c r="D4" s="62"/>
      <x:c r="E4" s="62"/>
      <x:c r="F4" s="62"/>
      <x:c r="G4" s="62"/>
      <x:c r="H4" s="62"/>
      <x:c r="I4" s="62"/>
      <x:c r="J4" s="62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59"/>
      <x:c r="B5" s="59"/>
      <x:c r="C5" s="59"/>
      <x:c r="D5" s="59"/>
      <x:c r="E5" s="59"/>
      <x:c r="F5" s="59"/>
      <x:c r="G5" s="59"/>
      <x:c r="H5" s="59"/>
      <x:c r="I5" s="59"/>
      <x:c r="J5" s="59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63" t="str">
        <x:v>Slice tasks</x:v>
      </x:c>
      <x:c r="B6" s="64" t="n">
        <x:f>COUNTIFS(J12:J60,"Yes")</x:f>
        <x:v>27</x:v>
      </x:c>
      <x:c r="C6" s="59"/>
      <x:c r="D6" s="29" t="str">
        <x:v>Prototype rule: each five-second turn collects one hidden action from each player, then the authoritative server validates and resolves both actions from the same pre-turn snapshot. Wallet signatures remain outside the turn loop.</x:v>
      </x:c>
      <x:c r="E6" s="30"/>
      <x:c r="F6" s="30"/>
      <x:c r="G6" s="30"/>
      <x:c r="H6" s="30"/>
      <x:c r="I6" s="30"/>
      <x:c r="J6" s="3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63" t="str">
        <x:v>Slice hours</x:v>
      </x:c>
      <x:c r="B7" s="64" t="n">
        <x:f>SUMIFS(F12:F60,J12:J60,"Yes")</x:f>
        <x:v>40.5</x:v>
      </x:c>
      <x:c r="C7" s="59"/>
      <x:c r="D7" s="32"/>
      <x:c r="E7" s="33"/>
      <x:c r="F7" s="33"/>
      <x:c r="G7" s="33"/>
      <x:c r="H7" s="33"/>
      <x:c r="I7" s="33"/>
      <x:c r="J7" s="34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63" t="str">
        <x:v>MUST tasks</x:v>
      </x:c>
      <x:c r="B8" s="64" t="n">
        <x:f>COUNTIFS(H12:H60,"MUST")</x:f>
        <x:v>27</x:v>
      </x:c>
      <x:c r="C8" s="59"/>
      <x:c r="D8" s="32"/>
      <x:c r="E8" s="33"/>
      <x:c r="F8" s="33"/>
      <x:c r="G8" s="33"/>
      <x:c r="H8" s="33"/>
      <x:c r="I8" s="33"/>
      <x:c r="J8" s="34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63" t="str">
        <x:v>Done tasks</x:v>
      </x:c>
      <x:c r="B9" s="64" t="n">
        <x:f>COUNTIFS(I12:I60,"Done")</x:f>
        <x:v>25</x:v>
      </x:c>
      <x:c r="C9" s="59"/>
      <x:c r="D9" s="35"/>
      <x:c r="E9" s="36"/>
      <x:c r="F9" s="36"/>
      <x:c r="G9" s="36"/>
      <x:c r="H9" s="36"/>
      <x:c r="I9" s="36"/>
      <x:c r="J9" s="37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59"/>
      <x:c r="B10" s="59"/>
      <x:c r="C10" s="59"/>
      <x:c r="D10" s="59"/>
      <x:c r="E10" s="59"/>
      <x:c r="F10" s="59"/>
      <x:c r="G10" s="59"/>
      <x:c r="H10" s="59"/>
      <x:c r="I10" s="59"/>
      <x:c r="J10" s="59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15" hidden="0" customHeight="1">
      <x:c r="A11" s="46" t="str">
        <x:v>Day</x:v>
      </x:c>
      <x:c r="B11" s="47" t="str">
        <x:v>ID</x:v>
      </x:c>
      <x:c r="C11" s="47" t="str">
        <x:v>Area</x:v>
      </x:c>
      <x:c r="D11" s="47" t="str">
        <x:v>Task</x:v>
      </x:c>
      <x:c r="E11" s="47" t="str">
        <x:v>Done when</x:v>
      </x:c>
      <x:c r="F11" s="47" t="str">
        <x:v>Hours</x:v>
      </x:c>
      <x:c r="G11" s="47" t="str">
        <x:v>Depends on</x:v>
      </x:c>
      <x:c r="H11" s="47" t="str">
        <x:v>Priority</x:v>
      </x:c>
      <x:c r="I11" s="47" t="str">
        <x:v>Status</x:v>
      </x:c>
      <x:c r="J11" s="48" t="str">
        <x:v>Vertical slice</x:v>
      </x:c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24" hidden="0" customHeight="1">
      <x:c r="A12" s="65" t="str">
        <x:v>Day 1</x:v>
      </x:c>
      <x:c r="B12" s="65" t="str">
        <x:v>ST-01</x:v>
      </x:c>
      <x:c r="C12" s="65" t="str">
        <x:v>Game design</x:v>
      </x:c>
      <x:c r="D12" s="53" t="str">
        <x:v>Approve Strike, Guard, and Recharge rules</x:v>
      </x:c>
      <x:c r="E12" s="53" t="str">
        <x:v>The three actions, mana costs, simultaneous resolution, double KO, and invalid-action behavior match the Combat Rules sheet.</x:v>
      </x:c>
      <x:c r="F12" s="66" t="n">
        <x:v>1</x:v>
      </x:c>
      <x:c r="G12" s="65" t="str">
        <x:v>-</x:v>
      </x:c>
      <x:c r="H12" s="67" t="str">
        <x:v>MUST</x:v>
      </x:c>
      <x:c r="I12" s="67" t="str">
        <x:v>Done</x:v>
      </x:c>
      <x:c r="J12" s="67" t="str">
        <x:v>Yes</x:v>
      </x:c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 ht="24" hidden="0" customHeight="1">
      <x:c r="A13" s="68" t="str">
        <x:v>Day 1</x:v>
      </x:c>
      <x:c r="B13" s="68" t="str">
        <x:v>ST-02</x:v>
      </x:c>
      <x:c r="C13" s="68" t="str">
        <x:v>Game design</x:v>
      </x:c>
      <x:c r="D13" s="54" t="str">
        <x:v>Freeze formulas and battle limits</x:v>
      </x:c>
      <x:c r="E13" s="54" t="str">
        <x:v>Damage, temporary guard, mana, 30-turn cap, timeout loss, and draw rules have shared constants and rules_version=2.</x:v>
      </x:c>
      <x:c r="F13" s="69" t="n">
        <x:v>1.5</x:v>
      </x:c>
      <x:c r="G13" s="68" t="str">
        <x:v>ST-01</x:v>
      </x:c>
      <x:c r="H13" s="70" t="str">
        <x:v>MUST</x:v>
      </x:c>
      <x:c r="I13" s="70" t="str">
        <x:v>Done</x:v>
      </x:c>
      <x:c r="J13" s="70" t="str">
        <x:v>Yes</x:v>
      </x:c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24" hidden="0" customHeight="1">
      <x:c r="A14" s="68" t="str">
        <x:v>Day 1</x:v>
      </x:c>
      <x:c r="B14" s="68" t="str">
        <x:v>ST-03</x:v>
      </x:c>
      <x:c r="C14" s="68" t="str">
        <x:v>Architecture</x:v>
      </x:c>
      <x:c r="D14" s="54" t="str">
        <x:v>Define authoritative live-match state</x:v>
      </x:c>
      <x:c r="E14" s="54" t="str">
        <x:v>A typed contract covers players, ordered teams, active slots, HP, mana, turn number, deadline, hidden choices, events, and result.</x:v>
      </x:c>
      <x:c r="F14" s="69" t="n">
        <x:v>1.5</x:v>
      </x:c>
      <x:c r="G14" s="68" t="str">
        <x:v>ST-01</x:v>
      </x:c>
      <x:c r="H14" s="70" t="str">
        <x:v>MUST</x:v>
      </x:c>
      <x:c r="I14" s="70" t="str">
        <x:v>Done</x:v>
      </x:c>
      <x:c r="J14" s="70" t="str">
        <x:v>Yes</x:v>
      </x:c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24" hidden="0" customHeight="1">
      <x:c r="A15" s="68" t="str">
        <x:v>Day 1</x:v>
      </x:c>
      <x:c r="B15" s="68" t="str">
        <x:v>ST-04</x:v>
      </x:c>
      <x:c r="C15" s="68" t="str">
        <x:v>Architecture</x:v>
      </x:c>
      <x:c r="D15" s="54" t="str">
        <x:v>Separate live play from Solana settlement</x:v>
      </x:c>
      <x:c r="E15" s="54" t="str">
        <x:v>The server owns five-second turns. Solana owns teams, stake escrow, resolver authorization, final result hash, payout, and refund escape hatch.</x:v>
      </x:c>
      <x:c r="F15" s="69" t="n">
        <x:v>1.5</x:v>
      </x:c>
      <x:c r="G15" s="68" t="str">
        <x:v>ST-03</x:v>
      </x:c>
      <x:c r="H15" s="70" t="str">
        <x:v>MUST</x:v>
      </x:c>
      <x:c r="I15" s="70" t="str">
        <x:v>Done</x:v>
      </x:c>
      <x:c r="J15" s="70" t="str">
        <x:v>Yes</x:v>
      </x:c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24" hidden="0" customHeight="1">
      <x:c r="A16" s="68" t="str">
        <x:v>Day 1</x:v>
      </x:c>
      <x:c r="B16" s="68" t="str">
        <x:v>ST-05</x:v>
      </x:c>
      <x:c r="C16" s="68" t="str">
        <x:v>Setup</x:v>
      </x:c>
      <x:c r="D16" s="54" t="str">
        <x:v>Record baseline and version boundary</x:v>
      </x:c>
      <x:c r="E16" s="54" t="str">
        <x:v>Current auto-battle tests and program ID are recorded. New work does not silently reuse rules_version=1 matches.</x:v>
      </x:c>
      <x:c r="F16" s="69" t="n">
        <x:v>1</x:v>
      </x:c>
      <x:c r="G16" s="68" t="str">
        <x:v>ST-04</x:v>
      </x:c>
      <x:c r="H16" s="70" t="str">
        <x:v>MUST</x:v>
      </x:c>
      <x:c r="I16" s="70" t="str">
        <x:v>Done</x:v>
      </x:c>
      <x:c r="J16" s="70" t="str">
        <x:v>Yes</x:v>
      </x:c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24" hidden="0" customHeight="1">
      <x:c r="A17" s="68" t="str">
        <x:v>Day 2</x:v>
      </x:c>
      <x:c r="B17" s="68" t="str">
        <x:v>ST-06</x:v>
      </x:c>
      <x:c r="C17" s="68" t="str">
        <x:v>Shared engine</x:v>
      </x:c>
      <x:c r="D17" s="54" t="str">
        <x:v>Build a pure simultaneous-turn reducer</x:v>
      </x:c>
      <x:c r="E17" s="54" t="str">
        <x:v>Given a pre-turn snapshot and two actions, one deterministic function returns mana changes, damage, KOs, next active slots, events, and match status.</x:v>
      </x:c>
      <x:c r="F17" s="69" t="n">
        <x:v>2.5</x:v>
      </x:c>
      <x:c r="G17" s="68" t="str">
        <x:v>ST-02, ST-03</x:v>
      </x:c>
      <x:c r="H17" s="70" t="str">
        <x:v>MUST</x:v>
      </x:c>
      <x:c r="I17" s="70" t="str">
        <x:v>Done</x:v>
      </x:c>
      <x:c r="J17" s="70" t="str">
        <x:v>Yes</x:v>
      </x:c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24" hidden="0" customHeight="1">
      <x:c r="A18" s="68" t="str">
        <x:v>Day 2</x:v>
      </x:c>
      <x:c r="B18" s="68" t="str">
        <x:v>ST-07</x:v>
      </x:c>
      <x:c r="C18" s="68" t="str">
        <x:v>Testing</x:v>
      </x:c>
      <x:c r="D18" s="54" t="str">
        <x:v>Test the complete 3 by 3 action matrix</x:v>
      </x:c>
      <x:c r="E18" s="54" t="str">
        <x:v>All nine action pairs, insufficient mana, both attackers acting before KO, double KO, bench advance, and final draw are covered.</x:v>
      </x:c>
      <x:c r="F18" s="69" t="n">
        <x:v>1.5</x:v>
      </x:c>
      <x:c r="G18" s="68" t="str">
        <x:v>ST-06</x:v>
      </x:c>
      <x:c r="H18" s="70" t="str">
        <x:v>MUST</x:v>
      </x:c>
      <x:c r="I18" s="70" t="str">
        <x:v>Done</x:v>
      </x:c>
      <x:c r="J18" s="70" t="str">
        <x:v>Yes</x:v>
      </x:c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24" hidden="0" customHeight="1">
      <x:c r="A19" s="68" t="str">
        <x:v>Day 2</x:v>
      </x:c>
      <x:c r="B19" s="68" t="str">
        <x:v>ST-08</x:v>
      </x:c>
      <x:c r="C19" s="68" t="str">
        <x:v>Balance</x:v>
      </x:c>
      <x:c r="D19" s="54" t="str">
        <x:v>Run deterministic roster simulations</x:v>
      </x:c>
      <x:c r="E19" s="54" t="str">
        <x:v>Every active SpeciesConfig has legal stats. Automated matchups report win rate, median turns, guard use, recharge use, and draw rate.</x:v>
      </x:c>
      <x:c r="F19" s="69" t="n">
        <x:v>1.5</x:v>
      </x:c>
      <x:c r="G19" s="68" t="str">
        <x:v>ST-06</x:v>
      </x:c>
      <x:c r="H19" s="70" t="str">
        <x:v>MUST</x:v>
      </x:c>
      <x:c r="I19" s="70" t="str">
        <x:v>Done</x:v>
      </x:c>
      <x:c r="J19" s="70" t="str">
        <x:v>Yes</x:v>
      </x:c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24" hidden="0" customHeight="1">
      <x:c r="A20" s="68" t="str">
        <x:v>Day 2</x:v>
      </x:c>
      <x:c r="B20" s="68" t="str">
        <x:v>ST-09</x:v>
      </x:c>
      <x:c r="C20" s="68" t="str">
        <x:v>Realtime</x:v>
      </x:c>
      <x:c r="D20" s="54" t="str">
        <x:v>Create a server-authoritative match room</x:v>
      </x:c>
      <x:c r="E20" s="54" t="str">
        <x:v>A dedicated TypeScript room starts only with both players, accepts validated actions, owns the deadline, and broadcasts one shared state.</x:v>
      </x:c>
      <x:c r="F20" s="69" t="n">
        <x:v>2.5</x:v>
      </x:c>
      <x:c r="G20" s="68" t="str">
        <x:v>ST-03, ST-06</x:v>
      </x:c>
      <x:c r="H20" s="70" t="str">
        <x:v>MUST</x:v>
      </x:c>
      <x:c r="I20" s="70" t="str">
        <x:v>Done</x:v>
      </x:c>
      <x:c r="J20" s="70" t="str">
        <x:v>Yes</x:v>
      </x:c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 ht="24" hidden="0" customHeight="1">
      <x:c r="A21" s="68" t="str">
        <x:v>Day 3</x:v>
      </x:c>
      <x:c r="B21" s="68" t="str">
        <x:v>ST-10</x:v>
      </x:c>
      <x:c r="C21" s="68" t="str">
        <x:v>Realtime</x:v>
      </x:c>
      <x:c r="D21" s="54" t="str">
        <x:v>Authenticate each match participant once</x:v>
      </x:c>
      <x:c r="E21" s="54" t="str">
        <x:v>Each room seat maps to the correct wallet. Turn choices do not open a wallet prompt. Spectators cannot submit actions.</x:v>
      </x:c>
      <x:c r="F21" s="69" t="n">
        <x:v>1.5</x:v>
      </x:c>
      <x:c r="G21" s="68" t="str">
        <x:v>ST-09</x:v>
      </x:c>
      <x:c r="H21" s="70" t="str">
        <x:v>MUST</x:v>
      </x:c>
      <x:c r="I21" s="70" t="str">
        <x:v>Done</x:v>
      </x:c>
      <x:c r="J21" s="70" t="str">
        <x:v>Yes</x:v>
      </x:c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 ht="24" hidden="0" customHeight="1">
      <x:c r="A22" s="68" t="str">
        <x:v>Day 3</x:v>
      </x:c>
      <x:c r="B22" s="68" t="str">
        <x:v>ST-11</x:v>
      </x:c>
      <x:c r="C22" s="68" t="str">
        <x:v>Realtime</x:v>
      </x:c>
      <x:c r="D22" s="54" t="str">
        <x:v>Implement hidden choice and five-second deadline</x:v>
      </x:c>
      <x:c r="E22" s="54" t="str">
        <x:v>A player's choice is acknowledged privately but not revealed before both lock or the server deadline. A missing or invalid choice becomes Recharge.</x:v>
      </x:c>
      <x:c r="F22" s="69" t="n">
        <x:v>1.5</x:v>
      </x:c>
      <x:c r="G22" s="68" t="str">
        <x:v>ST-09, ST-10</x:v>
      </x:c>
      <x:c r="H22" s="70" t="str">
        <x:v>MUST</x:v>
      </x:c>
      <x:c r="I22" s="70" t="str">
        <x:v>Done</x:v>
      </x:c>
      <x:c r="J22" s="70" t="str">
        <x:v>Yes</x:v>
      </x:c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 ht="24" hidden="0" customHeight="1">
      <x:c r="A23" s="68" t="str">
        <x:v>Day 3</x:v>
      </x:c>
      <x:c r="B23" s="68" t="str">
        <x:v>ST-12</x:v>
      </x:c>
      <x:c r="C23" s="68" t="str">
        <x:v>Realtime</x:v>
      </x:c>
      <x:c r="D23" s="54" t="str">
        <x:v>Implement reconnect and missed-turn policy</x:v>
      </x:c>
      <x:c r="E23" s="54" t="str">
        <x:v>Reloading restores the latest authoritative snapshot. Three consecutive missed turns forfeit. A reconnect never restarts or pauses a deadline.</x:v>
      </x:c>
      <x:c r="F23" s="69" t="n">
        <x:v>1.5</x:v>
      </x:c>
      <x:c r="G23" s="68" t="str">
        <x:v>ST-11</x:v>
      </x:c>
      <x:c r="H23" s="70" t="str">
        <x:v>MUST</x:v>
      </x:c>
      <x:c r="I23" s="70" t="str">
        <x:v>Done</x:v>
      </x:c>
      <x:c r="J23" s="70" t="str">
        <x:v>Yes</x:v>
      </x:c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 ht="24" hidden="0" customHeight="1">
      <x:c r="A24" s="68" t="str">
        <x:v>Day 3</x:v>
      </x:c>
      <x:c r="B24" s="68" t="str">
        <x:v>ST-13</x:v>
      </x:c>
      <x:c r="C24" s="68" t="str">
        <x:v>Program</x:v>
      </x:c>
      <x:c r="D24" s="54" t="str">
        <x:v>Change Match from auto-resolve to Active</x:v>
      </x:c>
      <x:c r="E24" s="54" t="str">
        <x:v>join_match records both teams and stake, changes status to Active, and no longer calculates or pays a winner immediately.</x:v>
      </x:c>
      <x:c r="F24" s="69" t="n">
        <x:v>2</x:v>
      </x:c>
      <x:c r="G24" s="68" t="str">
        <x:v>ST-04, ST-05</x:v>
      </x:c>
      <x:c r="H24" s="70" t="str">
        <x:v>MUST</x:v>
      </x:c>
      <x:c r="I24" s="70" t="str">
        <x:v>Done</x:v>
      </x:c>
      <x:c r="J24" s="70" t="str">
        <x:v>Yes</x:v>
      </x:c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 ht="24" hidden="0" customHeight="1">
      <x:c r="A25" s="68" t="str">
        <x:v>Day 3</x:v>
      </x:c>
      <x:c r="B25" s="68" t="str">
        <x:v>ST-14</x:v>
      </x:c>
      <x:c r="C25" s="68" t="str">
        <x:v>Program</x:v>
      </x:c>
      <x:c r="D25" s="54" t="str">
        <x:v>Authorize an offchain match resolver</x:v>
      </x:c>
      <x:c r="E25" s="54" t="str">
        <x:v>GameConfig stores one resolver authority. Only that signer can record winner, turn count, and final event-log hash for an Active match.</x:v>
      </x:c>
      <x:c r="F25" s="69" t="n">
        <x:v>2</x:v>
      </x:c>
      <x:c r="G25" s="68" t="str">
        <x:v>ST-13</x:v>
      </x:c>
      <x:c r="H25" s="70" t="str">
        <x:v>MUST</x:v>
      </x:c>
      <x:c r="I25" s="70" t="str">
        <x:v>Done</x:v>
      </x:c>
      <x:c r="J25" s="70" t="str">
        <x:v>Yes</x:v>
      </x:c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 ht="24" hidden="0" customHeight="1">
      <x:c r="A26" s="68" t="str">
        <x:v>Day 3</x:v>
      </x:c>
      <x:c r="B26" s="68" t="str">
        <x:v>ST-15</x:v>
      </x:c>
      <x:c r="C26" s="68" t="str">
        <x:v>Program</x:v>
      </x:c>
      <x:c r="D26" s="54" t="str">
        <x:v>Add stale-match refund escape hatch</x:v>
      </x:c>
      <x:c r="E26" s="54" t="str">
        <x:v>If no valid result is recorded before the fixed expiry, either player can trigger an equal stake refund. Resolved matches cannot be refunded.</x:v>
      </x:c>
      <x:c r="F26" s="69" t="n">
        <x:v>1.5</x:v>
      </x:c>
      <x:c r="G26" s="68" t="str">
        <x:v>ST-13</x:v>
      </x:c>
      <x:c r="H26" s="70" t="str">
        <x:v>MUST</x:v>
      </x:c>
      <x:c r="I26" s="70" t="str">
        <x:v>Done</x:v>
      </x:c>
      <x:c r="J26" s="70" t="str">
        <x:v>Yes</x:v>
      </x:c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 ht="24" hidden="0" customHeight="1">
      <x:c r="A27" s="68" t="str">
        <x:v>Day 4</x:v>
      </x:c>
      <x:c r="B27" s="68" t="str">
        <x:v>ST-16</x:v>
      </x:c>
      <x:c r="C27" s="68" t="str">
        <x:v>Frontend</x:v>
      </x:c>
      <x:c r="D27" s="54" t="str">
        <x:v>Route both players to /match/[address]</x:v>
      </x:c>
      <x:c r="E27" s="54" t="str">
        <x:v>Creating or joining a match navigates both players to the same canonical match URL and restores that URL after reload.</x:v>
      </x:c>
      <x:c r="F27" s="69" t="n">
        <x:v>1</x:v>
      </x:c>
      <x:c r="G27" s="68" t="str">
        <x:v>ST-09, ST-13</x:v>
      </x:c>
      <x:c r="H27" s="70" t="str">
        <x:v>MUST</x:v>
      </x:c>
      <x:c r="I27" s="70" t="str">
        <x:v>Done</x:v>
      </x:c>
      <x:c r="J27" s="70" t="str">
        <x:v>Yes</x:v>
      </x:c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 ht="24" hidden="0" customHeight="1">
      <x:c r="A28" s="68" t="str">
        <x:v>Day 4</x:v>
      </x:c>
      <x:c r="B28" s="68" t="str">
        <x:v>ST-17</x:v>
      </x:c>
      <x:c r="C28" s="68" t="str">
        <x:v>Frontend</x:v>
      </x:c>
      <x:c r="D28" s="54" t="str">
        <x:v>Build the mobile battle layout</x:v>
      </x:c>
      <x:c r="E28" s="54" t="str">
        <x:v>Opponent card and bench sit at the top, turn state in the middle, own card and bench above a sticky three-button action tray.</x:v>
      </x:c>
      <x:c r="F28" s="69" t="n">
        <x:v>2</x:v>
      </x:c>
      <x:c r="G28" s="68" t="str">
        <x:v>ST-16</x:v>
      </x:c>
      <x:c r="H28" s="70" t="str">
        <x:v>MUST</x:v>
      </x:c>
      <x:c r="I28" s="70" t="str">
        <x:v>Done</x:v>
      </x:c>
      <x:c r="J28" s="70" t="str">
        <x:v>Yes</x:v>
      </x:c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24" hidden="0" customHeight="1">
      <x:c r="A29" s="68" t="str">
        <x:v>Day 4</x:v>
      </x:c>
      <x:c r="B29" s="68" t="str">
        <x:v>ST-18</x:v>
      </x:c>
      <x:c r="C29" s="68" t="str">
        <x:v>Frontend</x:v>
      </x:c>
      <x:c r="D29" s="54" t="str">
        <x:v>Build clear action controls</x:v>
      </x:c>
      <x:c r="E29" s="54" t="str">
        <x:v>Strike, Guard, and Recharge are at least 48px high, show mana cost or gain, disable impossible actions, expose keyboard focus, and show the five-second countdown.</x:v>
      </x:c>
      <x:c r="F29" s="69" t="n">
        <x:v>1.5</x:v>
      </x:c>
      <x:c r="G29" s="68" t="str">
        <x:v>ST-17</x:v>
      </x:c>
      <x:c r="H29" s="70" t="str">
        <x:v>MUST</x:v>
      </x:c>
      <x:c r="I29" s="70" t="str">
        <x:v>Done</x:v>
      </x:c>
      <x:c r="J29" s="70" t="str">
        <x:v>Yes</x:v>
      </x:c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 ht="24" hidden="0" customHeight="1">
      <x:c r="A30" s="68" t="str">
        <x:v>Day 4</x:v>
      </x:c>
      <x:c r="B30" s="68" t="str">
        <x:v>ST-19</x:v>
      </x:c>
      <x:c r="C30" s="68" t="str">
        <x:v>Frontend</x:v>
      </x:c>
      <x:c r="D30" s="54" t="str">
        <x:v>Animate simultaneous resolution</x:v>
      </x:c>
      <x:c r="E30" s="54" t="str">
        <x:v>Both cards animate from the same event. HP and mana bars interpolate, Guard flashes, Recharge pulses, and KO cards turn gray without changing game timing.</x:v>
      </x:c>
      <x:c r="F30" s="69" t="n">
        <x:v>1.5</x:v>
      </x:c>
      <x:c r="G30" s="68" t="str">
        <x:v>ST-17, ST-18</x:v>
      </x:c>
      <x:c r="H30" s="70" t="str">
        <x:v>MUST</x:v>
      </x:c>
      <x:c r="I30" s="70" t="str">
        <x:v>Done</x:v>
      </x:c>
      <x:c r="J30" s="70" t="str">
        <x:v>Yes</x:v>
      </x:c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 ht="24" hidden="0" customHeight="1">
      <x:c r="A31" s="68" t="str">
        <x:v>Day 4</x:v>
      </x:c>
      <x:c r="B31" s="68" t="str">
        <x:v>ST-20</x:v>
      </x:c>
      <x:c r="C31" s="68" t="str">
        <x:v>Frontend</x:v>
      </x:c>
      <x:c r="D31" s="54" t="str">
        <x:v>Support reduced motion and spectators</x:v>
      </x:c>
      <x:c r="E31" s="54" t="str">
        <x:v>Reduced-motion mode uses fades and bar changes only. Spectators see the same deadline and events but no action controls.</x:v>
      </x:c>
      <x:c r="F31" s="69" t="n">
        <x:v>1</x:v>
      </x:c>
      <x:c r="G31" s="68" t="str">
        <x:v>ST-19</x:v>
      </x:c>
      <x:c r="H31" s="70" t="str">
        <x:v>MUST</x:v>
      </x:c>
      <x:c r="I31" s="70" t="str">
        <x:v>Done</x:v>
      </x:c>
      <x:c r="J31" s="70" t="str">
        <x:v>Yes</x:v>
      </x:c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 ht="24" hidden="0" customHeight="1">
      <x:c r="A32" s="68" t="str">
        <x:v>Day 4</x:v>
      </x:c>
      <x:c r="B32" s="68" t="str">
        <x:v>ST-21</x:v>
      </x:c>
      <x:c r="C32" s="68" t="str">
        <x:v>Frontend</x:v>
      </x:c>
      <x:c r="D32" s="54" t="str">
        <x:v>Show network and recovery states</x:v>
      </x:c>
      <x:c r="E32" s="54" t="str">
        <x:v>Connecting, waiting, choice locked, opponent locked, reconnecting, forfeited, draw, and settlement unavailable states each have one clear message.</x:v>
      </x:c>
      <x:c r="F32" s="69" t="n">
        <x:v>1</x:v>
      </x:c>
      <x:c r="G32" s="68" t="str">
        <x:v>ST-12, ST-18</x:v>
      </x:c>
      <x:c r="H32" s="70" t="str">
        <x:v>MUST</x:v>
      </x:c>
      <x:c r="I32" s="70" t="str">
        <x:v>Done</x:v>
      </x:c>
      <x:c r="J32" s="70" t="str">
        <x:v>Yes</x:v>
      </x:c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 ht="24" hidden="0" customHeight="1">
      <x:c r="A33" s="68" t="str">
        <x:v>Day 5</x:v>
      </x:c>
      <x:c r="B33" s="68" t="str">
        <x:v>ST-22</x:v>
      </x:c>
      <x:c r="C33" s="68" t="str">
        <x:v>Settlement</x:v>
      </x:c>
      <x:c r="D33" s="54" t="str">
        <x:v>Persist and hash the authoritative event log</x:v>
      </x:c>
      <x:c r="E33" s="54" t="str">
        <x:v>The server stores the ordered input and result events, derives one canonical SHA-256 result hash, and never accepts a client-provided winner.</x:v>
      </x:c>
      <x:c r="F33" s="69" t="n">
        <x:v>1.5</x:v>
      </x:c>
      <x:c r="G33" s="68" t="str">
        <x:v>ST-06, ST-14</x:v>
      </x:c>
      <x:c r="H33" s="70" t="str">
        <x:v>MUST</x:v>
      </x:c>
      <x:c r="I33" s="70" t="str">
        <x:v>Done</x:v>
      </x:c>
      <x:c r="J33" s="70" t="str">
        <x:v>Yes</x:v>
      </x:c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 ht="24" hidden="0" customHeight="1">
      <x:c r="A34" s="68" t="str">
        <x:v>Day 5</x:v>
      </x:c>
      <x:c r="B34" s="68" t="str">
        <x:v>ST-23</x:v>
      </x:c>
      <x:c r="C34" s="68" t="str">
        <x:v>Settlement</x:v>
      </x:c>
      <x:c r="D34" s="54" t="str">
        <x:v>Record the resolved result on Solana</x:v>
      </x:c>
      <x:c r="E34" s="54" t="str">
        <x:v>The resolver signs a resolve transaction containing the match address, winner, turn count, and final hash. The Match account becomes Resolved once.</x:v>
      </x:c>
      <x:c r="F34" s="69" t="n">
        <x:v>1.5</x:v>
      </x:c>
      <x:c r="G34" s="68" t="str">
        <x:v>ST-14, ST-22</x:v>
      </x:c>
      <x:c r="H34" s="70" t="str">
        <x:v>MUST</x:v>
      </x:c>
      <x:c r="I34" s="70" t="str">
        <x:v>Done</x:v>
      </x:c>
      <x:c r="J34" s="70" t="str">
        <x:v>Yes</x:v>
      </x:c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24" hidden="0" customHeight="1">
      <x:c r="A35" s="68" t="str">
        <x:v>Day 5</x:v>
      </x:c>
      <x:c r="B35" s="68" t="str">
        <x:v>ST-24</x:v>
      </x:c>
      <x:c r="C35" s="68" t="str">
        <x:v>Settlement</x:v>
      </x:c>
      <x:c r="D35" s="54" t="str">
        <x:v>Let the winner claim the pot</x:v>
      </x:c>
      <x:c r="E35" s="54" t="str">
        <x:v>Only the recorded winner can sign the claim. A draw refunds both. The exact transaction appears in match history.</x:v>
      </x:c>
      <x:c r="F35" s="69" t="n">
        <x:v>1</x:v>
      </x:c>
      <x:c r="G35" s="68" t="str">
        <x:v>ST-23</x:v>
      </x:c>
      <x:c r="H35" s="70" t="str">
        <x:v>MUST</x:v>
      </x:c>
      <x:c r="I35" s="70" t="str">
        <x:v>Done</x:v>
      </x:c>
      <x:c r="J35" s="70" t="str">
        <x:v>Yes</x:v>
      </x:c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 ht="24" hidden="0" customHeight="1">
      <x:c r="A36" s="68" t="str">
        <x:v>Day 5</x:v>
      </x:c>
      <x:c r="B36" s="68" t="str">
        <x:v>ST-25</x:v>
      </x:c>
      <x:c r="C36" s="68" t="str">
        <x:v>Integration</x:v>
      </x:c>
      <x:c r="D36" s="54" t="str">
        <x:v>Run two-browser end-to-end battles</x:v>
      </x:c>
      <x:c r="E36" s="54" t="str">
        <x:v>Two wallets see the same 10 consecutive turns, HP, mana, KOs, result, transaction state, and claim outcome after refresh and one reconnect.</x:v>
      </x:c>
      <x:c r="F36" s="69" t="n">
        <x:v>2</x:v>
      </x:c>
      <x:c r="G36" s="68" t="str">
        <x:v>ST-12, ST-19, ST-24</x:v>
      </x:c>
      <x:c r="H36" s="70" t="str">
        <x:v>MUST</x:v>
      </x:c>
      <x:c r="I36" s="70" t="str">
        <x:v>Blocked</x:v>
      </x:c>
      <x:c r="J36" s="70" t="str">
        <x:v>Yes</x:v>
      </x:c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 ht="24" hidden="0" customHeight="1">
      <x:c r="A37" s="68" t="str">
        <x:v>Day 5</x:v>
      </x:c>
      <x:c r="B37" s="68" t="str">
        <x:v>ST-26</x:v>
      </x:c>
      <x:c r="C37" s="68" t="str">
        <x:v>Balance</x:v>
      </x:c>
      <x:c r="D37" s="54" t="str">
        <x:v>Tune from recorded matches</x:v>
      </x:c>
      <x:c r="E37" s="54" t="str">
        <x:v>Median match length is 12 to 24 turns, draw rate is below 10%, no action is selected above 65%, and no sample creature exceeds 65% win rate.</x:v>
      </x:c>
      <x:c r="F37" s="69" t="n">
        <x:v>1.5</x:v>
      </x:c>
      <x:c r="G37" s="68" t="str">
        <x:v>ST-08, ST-25</x:v>
      </x:c>
      <x:c r="H37" s="70" t="str">
        <x:v>MUST</x:v>
      </x:c>
      <x:c r="I37" s="70" t="str">
        <x:v>In Progress</x:v>
      </x:c>
      <x:c r="J37" s="70" t="str">
        <x:v>Yes</x:v>
      </x:c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 ht="24" hidden="0" customHeight="1">
      <x:c r="A38" s="68" t="str">
        <x:v>Day 5</x:v>
      </x:c>
      <x:c r="B38" s="68" t="str">
        <x:v>ST-27</x:v>
      </x:c>
      <x:c r="C38" s="68" t="str">
        <x:v>Delivery</x:v>
      </x:c>
      <x:c r="D38" s="54" t="str">
        <x:v>Update demo script and operating notes</x:v>
      </x:c>
      <x:c r="E38" s="54" t="str">
        <x:v>The demo explains simultaneous choices, one wallet signature for claim, current central resolver trust, and how to recover or refund a stuck match.</x:v>
      </x:c>
      <x:c r="F38" s="69" t="n">
        <x:v>0.5</x:v>
      </x:c>
      <x:c r="G38" s="68" t="str">
        <x:v>ST-25</x:v>
      </x:c>
      <x:c r="H38" s="70" t="str">
        <x:v>MUST</x:v>
      </x:c>
      <x:c r="I38" s="70" t="str">
        <x:v>Done</x:v>
      </x:c>
      <x:c r="J38" s="70" t="str">
        <x:v>Yes</x:v>
      </x:c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 ht="24" hidden="0" customHeight="1">
      <x:c r="A39" s="68" t="str">
        <x:v>After slice</x:v>
      </x:c>
      <x:c r="B39" s="68" t="str">
        <x:v>ST-28</x:v>
      </x:c>
      <x:c r="C39" s="68" t="str">
        <x:v>Scale</x:v>
      </x:c>
      <x:c r="D39" s="54" t="str">
        <x:v>Move room presence and recovery to shared infrastructure</x:v>
      </x:c>
      <x:c r="E39" s="54" t="str">
        <x:v>A room can recover after one server process restarts and multiple nodes can find the same match without split-brain state.</x:v>
      </x:c>
      <x:c r="F39" s="69" t="n">
        <x:v>4</x:v>
      </x:c>
      <x:c r="G39" s="68" t="str">
        <x:v>ST-25</x:v>
      </x:c>
      <x:c r="H39" s="70" t="str">
        <x:v>SHOULD</x:v>
      </x:c>
      <x:c r="I39" s="70" t="str">
        <x:v>To Do</x:v>
      </x:c>
      <x:c r="J39" s="70" t="str">
        <x:v>No</x:v>
      </x:c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 ht="24" hidden="0" customHeight="1">
      <x:c r="A40" s="68" t="str">
        <x:v>After slice</x:v>
      </x:c>
      <x:c r="B40" s="68" t="str">
        <x:v>ST-29</x:v>
      </x:c>
      <x:c r="C40" s="68" t="str">
        <x:v>Security</x:v>
      </x:c>
      <x:c r="D40" s="54" t="str">
        <x:v>Replace trusted resolver with stronger settlement</x:v>
      </x:c>
      <x:c r="E40" s="54" t="str">
        <x:v>Choose and prototype mutual result signatures, commit-reveal, or a replay-verifiable onchain result without changing the UI contract.</x:v>
      </x:c>
      <x:c r="F40" s="69" t="n">
        <x:v>6</x:v>
      </x:c>
      <x:c r="G40" s="68" t="str">
        <x:v>ST-23</x:v>
      </x:c>
      <x:c r="H40" s="70" t="str">
        <x:v>SHOULD</x:v>
      </x:c>
      <x:c r="I40" s="70" t="str">
        <x:v>To Do</x:v>
      </x:c>
      <x:c r="J40" s="70" t="str">
        <x:v>No</x:v>
      </x:c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 ht="24" hidden="0" customHeight="1">
      <x:c r="A41" s="68" t="str">
        <x:v>After slice</x:v>
      </x:c>
      <x:c r="B41" s="68" t="str">
        <x:v>ST-30</x:v>
      </x:c>
      <x:c r="C41" s="68" t="str">
        <x:v>Game design</x:v>
      </x:c>
      <x:c r="D41" s="54" t="str">
        <x:v>Add skills only after action telemetry</x:v>
      </x:c>
      <x:c r="E41" s="54" t="str">
        <x:v>No skill ships until base action pick rates, match length, disconnect rate, and dominant strategies meet the V1 targets.</x:v>
      </x:c>
      <x:c r="F41" s="69" t="n">
        <x:v>3</x:v>
      </x:c>
      <x:c r="G41" s="68" t="str">
        <x:v>ST-26</x:v>
      </x:c>
      <x:c r="H41" s="70" t="str">
        <x:v>COULD</x:v>
      </x:c>
      <x:c r="I41" s="70" t="str">
        <x:v>To Do</x:v>
      </x:c>
      <x:c r="J41" s="70" t="str">
        <x:v>No</x:v>
      </x:c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59"/>
      <x:c r="B42" s="59"/>
      <x:c r="C42" s="59"/>
      <x:c r="D42" s="59"/>
      <x:c r="E42" s="59"/>
      <x:c r="F42" s="59"/>
      <x:c r="G42" s="59"/>
      <x:c r="H42" s="59"/>
      <x:c r="I42" s="59"/>
      <x:c r="J42" s="59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59"/>
      <x:c r="B43" s="59"/>
      <x:c r="C43" s="59"/>
      <x:c r="D43" s="59"/>
      <x:c r="E43" s="59"/>
      <x:c r="F43" s="59"/>
      <x:c r="G43" s="59"/>
      <x:c r="H43" s="59"/>
      <x:c r="I43" s="59"/>
      <x:c r="J43" s="59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59"/>
      <x:c r="B44" s="59"/>
      <x:c r="C44" s="59"/>
      <x:c r="D44" s="59"/>
      <x:c r="E44" s="59"/>
      <x:c r="F44" s="59"/>
      <x:c r="G44" s="59"/>
      <x:c r="H44" s="59"/>
      <x:c r="I44" s="59"/>
      <x:c r="J44" s="59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59"/>
      <x:c r="B45" s="59"/>
      <x:c r="C45" s="59"/>
      <x:c r="D45" s="59"/>
      <x:c r="E45" s="59"/>
      <x:c r="F45" s="59"/>
      <x:c r="G45" s="59"/>
      <x:c r="H45" s="59"/>
      <x:c r="I45" s="59"/>
      <x:c r="J45" s="59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59"/>
      <x:c r="B46" s="59"/>
      <x:c r="C46" s="59"/>
      <x:c r="D46" s="59"/>
      <x:c r="E46" s="59"/>
      <x:c r="F46" s="59"/>
      <x:c r="G46" s="59"/>
      <x:c r="H46" s="59"/>
      <x:c r="I46" s="59"/>
      <x:c r="J46" s="59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59"/>
      <x:c r="B47" s="59"/>
      <x:c r="C47" s="59"/>
      <x:c r="D47" s="59"/>
      <x:c r="E47" s="59"/>
      <x:c r="F47" s="59"/>
      <x:c r="G47" s="59"/>
      <x:c r="H47" s="59"/>
      <x:c r="I47" s="59"/>
      <x:c r="J47" s="59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59"/>
      <x:c r="B48" s="59"/>
      <x:c r="C48" s="59"/>
      <x:c r="D48" s="59"/>
      <x:c r="E48" s="59"/>
      <x:c r="F48" s="59"/>
      <x:c r="G48" s="59"/>
      <x:c r="H48" s="59"/>
      <x:c r="I48" s="59"/>
      <x:c r="J48" s="59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59"/>
      <x:c r="B49" s="59"/>
      <x:c r="C49" s="59"/>
      <x:c r="D49" s="59"/>
      <x:c r="E49" s="59"/>
      <x:c r="F49" s="59"/>
      <x:c r="G49" s="59"/>
      <x:c r="H49" s="59"/>
      <x:c r="I49" s="59"/>
      <x:c r="J49" s="59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59"/>
      <x:c r="B50" s="59"/>
      <x:c r="C50" s="59"/>
      <x:c r="D50" s="59"/>
      <x:c r="E50" s="59"/>
      <x:c r="F50" s="59"/>
      <x:c r="G50" s="59"/>
      <x:c r="H50" s="59"/>
      <x:c r="I50" s="59"/>
      <x:c r="J50" s="59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59"/>
      <x:c r="B51" s="59"/>
      <x:c r="C51" s="59"/>
      <x:c r="D51" s="59"/>
      <x:c r="E51" s="59"/>
      <x:c r="F51" s="59"/>
      <x:c r="G51" s="59"/>
      <x:c r="H51" s="59"/>
      <x:c r="I51" s="59"/>
      <x:c r="J51" s="59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59"/>
      <x:c r="B52" s="59"/>
      <x:c r="C52" s="59"/>
      <x:c r="D52" s="59"/>
      <x:c r="E52" s="59"/>
      <x:c r="F52" s="59"/>
      <x:c r="G52" s="59"/>
      <x:c r="H52" s="59"/>
      <x:c r="I52" s="59"/>
      <x:c r="J52" s="59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59"/>
      <x:c r="B53" s="59"/>
      <x:c r="C53" s="59"/>
      <x:c r="D53" s="59"/>
      <x:c r="E53" s="59"/>
      <x:c r="F53" s="59"/>
      <x:c r="G53" s="59"/>
      <x:c r="H53" s="59"/>
      <x:c r="I53" s="59"/>
      <x:c r="J53" s="59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59"/>
      <x:c r="B54" s="59"/>
      <x:c r="C54" s="59"/>
      <x:c r="D54" s="59"/>
      <x:c r="E54" s="59"/>
      <x:c r="F54" s="59"/>
      <x:c r="G54" s="59"/>
      <x:c r="H54" s="59"/>
      <x:c r="I54" s="59"/>
      <x:c r="J54" s="59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59"/>
      <x:c r="B55" s="59"/>
      <x:c r="C55" s="59"/>
      <x:c r="D55" s="59"/>
      <x:c r="E55" s="59"/>
      <x:c r="F55" s="59"/>
      <x:c r="G55" s="59"/>
      <x:c r="H55" s="59"/>
      <x:c r="I55" s="59"/>
      <x:c r="J55" s="59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59"/>
      <x:c r="B56" s="59"/>
      <x:c r="C56" s="59"/>
      <x:c r="D56" s="59"/>
      <x:c r="E56" s="59"/>
      <x:c r="F56" s="59"/>
      <x:c r="G56" s="59"/>
      <x:c r="H56" s="59"/>
      <x:c r="I56" s="59"/>
      <x:c r="J56" s="59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59"/>
      <x:c r="B57" s="59"/>
      <x:c r="C57" s="59"/>
      <x:c r="D57" s="59"/>
      <x:c r="E57" s="59"/>
      <x:c r="F57" s="59"/>
      <x:c r="G57" s="59"/>
      <x:c r="H57" s="59"/>
      <x:c r="I57" s="59"/>
      <x:c r="J57" s="59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59"/>
      <x:c r="B58" s="59"/>
      <x:c r="C58" s="59"/>
      <x:c r="D58" s="59"/>
      <x:c r="E58" s="59"/>
      <x:c r="F58" s="59"/>
      <x:c r="G58" s="59"/>
      <x:c r="H58" s="59"/>
      <x:c r="I58" s="59"/>
      <x:c r="J58" s="59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59"/>
      <x:c r="B59" s="59"/>
      <x:c r="C59" s="59"/>
      <x:c r="D59" s="59"/>
      <x:c r="E59" s="59"/>
      <x:c r="F59" s="59"/>
      <x:c r="G59" s="59"/>
      <x:c r="H59" s="59"/>
      <x:c r="I59" s="59"/>
      <x:c r="J59" s="59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59"/>
      <x:c r="B60" s="59"/>
      <x:c r="C60" s="59"/>
      <x:c r="D60" s="59"/>
      <x:c r="E60" s="59"/>
      <x:c r="F60" s="59"/>
      <x:c r="G60" s="59"/>
      <x:c r="H60" s="59"/>
      <x:c r="I60" s="59"/>
      <x:c r="J60" s="59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</x:row>
  </x:sheetData>
  <x:mergeCells>
    <x:mergeCell ref="A2:J2"/>
    <x:mergeCell ref="A3:J3"/>
    <x:mergeCell ref="D6:J9"/>
  </x:mergeCells>
  <x:conditionalFormatting sqref="I12:I41">
    <x:cfRule type="containsText" dxfId="0" priority="1" operator="containsText" text="Blocked"/>
    <x:cfRule type="containsText" dxfId="1" priority="2" operator="containsText" text="Done"/>
  </x:conditionalFormatting>
  <x:conditionalFormatting sqref="H12:H41">
    <x:cfRule type="containsText" dxfId="2" priority="3" operator="containsText" text="MUST"/>
  </x:conditionalFormatting>
  <x:dataValidations count="3">
    <x:dataValidation type="list" sqref="H12:H41">
      <x:formula1>"MUST,SHOULD,COULD"</x:formula1>
    </x:dataValidation>
    <x:dataValidation type="list" sqref="I12:I41">
      <x:formula1>"To Do,In Progress,Blocked,Done"</x:formula1>
    </x:dataValidation>
    <x:dataValidation type="list" sqref="J12:J41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ded044d45b14cdc"/>
  </x:tableParts>
</x:worksheet>
</file>

<file path=xl/worksheets/sheet2.xml><?xml version="1.0" encoding="utf-8"?>
<x:worksheet xmlns:x="http://schemas.openxmlformats.org/spreadsheetml/2006/main">
  <x:sheetPr>
    <x:tabColor rgb="FF22C55E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0" hidden="0" customWidth="1"/>
    <x:col min="2" max="2" width="22" hidden="0" customWidth="1"/>
    <x:col min="3" max="3" width="16" hidden="0" customWidth="1"/>
    <x:col min="4" max="4" width="46" hidden="0" customWidth="1"/>
    <x:col min="5" max="5" width="14" hidden="0" customWidth="1"/>
    <x:col min="6" max="6" width="18" hidden="0" customWidth="1"/>
    <x:col min="7" max="7" width="24" hidden="0" customWidth="1"/>
    <x:col min="8" max="8" width="30" hidden="0" customWidth="1"/>
    <x:col min="9" max="9" width="46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2" t="str">
        <x:v>Combat rules version 2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3" t="str">
        <x:v>Editable design assumptions are highlighted in light green. All resolution is deterministic and uses integer arithmetic.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15" hidden="0" customHeight="1">
      <x:c r="A6" s="46" t="str">
        <x:v>Rule</x:v>
      </x:c>
      <x:c r="B6" s="47" t="str">
        <x:v>Value</x:v>
      </x:c>
      <x:c r="C6" s="47" t="str">
        <x:v>Unit</x:v>
      </x:c>
      <x:c r="D6" s="48" t="str">
        <x:v>Reason</x:v>
      </x:c>
      <x:c r="E6" s="1"/>
      <x:c r="F6" s="46" t="str">
        <x:v>Action</x:v>
      </x:c>
      <x:c r="G6" s="47" t="str">
        <x:v>Mana</x:v>
      </x:c>
      <x:c r="H6" s="47" t="str">
        <x:v>Effect</x:v>
      </x:c>
      <x:c r="I6" s="48" t="str">
        <x:v>Player-facing label</x:v>
      </x:c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24" hidden="0" customHeight="1">
      <x:c r="A7" s="53" t="str">
        <x:v>Team size</x:v>
      </x:c>
      <x:c r="B7" s="75" t="n">
        <x:v>3</x:v>
      </x:c>
      <x:c r="C7" s="53" t="str">
        <x:v>creatures</x:v>
      </x:c>
      <x:c r="D7" s="53" t="str">
        <x:v>Keeps current ordered-team collection and match setup.</x:v>
      </x:c>
      <x:c r="E7" s="1"/>
      <x:c r="F7" s="53" t="str">
        <x:v>Strike</x:v>
      </x:c>
      <x:c r="G7" s="53" t="n">
        <x:v>-2</x:v>
      </x:c>
      <x:c r="H7" s="53" t="str">
        <x:v>Deal deterministic damage to the opposing active creature.</x:v>
      </x:c>
      <x:c r="I7" s="53" t="str">
        <x:v>Strike · 2 mana</x:v>
      </x:c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24" hidden="0" customHeight="1">
      <x:c r="A8" s="54" t="str">
        <x:v>Choice window</x:v>
      </x:c>
      <x:c r="B8" s="76" t="n">
        <x:v>5000</x:v>
      </x:c>
      <x:c r="C8" s="54" t="str">
        <x:v>milliseconds</x:v>
      </x:c>
      <x:c r="D8" s="54" t="str">
        <x:v>Both clients count down from one server deadline.</x:v>
      </x:c>
      <x:c r="E8" s="1"/>
      <x:c r="F8" s="54" t="str">
        <x:v>Guard</x:v>
      </x:c>
      <x:c r="G8" s="54" t="n">
        <x:v>-1</x:v>
      </x:c>
      <x:c r="H8" s="54" t="str">
        <x:v>Create temporary block equal to Shield for this turn. Unused block expires.</x:v>
      </x:c>
      <x:c r="I8" s="54" t="str">
        <x:v>Guard · 1 mana</x:v>
      </x:c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24" hidden="0" customHeight="1">
      <x:c r="A9" s="54" t="str">
        <x:v>Animation window</x:v>
      </x:c>
      <x:c r="B9" s="76" t="n">
        <x:v>1250</x:v>
      </x:c>
      <x:c r="C9" s="54" t="str">
        <x:v>milliseconds</x:v>
      </x:c>
      <x:c r="D9" s="54" t="str">
        <x:v>Plays after resolution and never changes the deadline.</x:v>
      </x:c>
      <x:c r="E9" s="1"/>
      <x:c r="F9" s="54" t="str">
        <x:v>Recharge</x:v>
      </x:c>
      <x:c r="G9" s="54" t="n">
        <x:v>3</x:v>
      </x:c>
      <x:c r="H9" s="54" t="str">
        <x:v>Restore mana up to 5. Does not heal HP or create Shield.</x:v>
      </x:c>
      <x:c r="I9" s="54" t="str">
        <x:v>Recharge · +3 mana</x:v>
      </x:c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15" hidden="0" customHeight="1">
      <x:c r="A10" s="54" t="str">
        <x:v>Starting mana</x:v>
      </x:c>
      <x:c r="B10" s="76" t="n">
        <x:v>5</x:v>
      </x:c>
      <x:c r="C10" s="54" t="str">
        <x:v>points</x:v>
      </x:c>
      <x:c r="D10" s="54" t="str">
        <x:v>Allows two early Strikes but creates a Recharge decision.</x:v>
      </x:c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15" hidden="0" customHeight="1">
      <x:c r="A11" s="54" t="str">
        <x:v>Maximum mana</x:v>
      </x:c>
      <x:c r="B11" s="76" t="n">
        <x:v>5</x:v>
      </x:c>
      <x:c r="C11" s="54" t="str">
        <x:v>points</x:v>
      </x:c>
      <x:c r="D11" s="54" t="str">
        <x:v>One visible resource shared by every creature.</x:v>
      </x:c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15" hidden="0" customHeight="1">
      <x:c r="A12" s="54" t="str">
        <x:v>Strike cost</x:v>
      </x:c>
      <x:c r="B12" s="76" t="n">
        <x:v>2</x:v>
      </x:c>
      <x:c r="C12" s="54" t="str">
        <x:v>mana</x:v>
      </x:c>
      <x:c r="D12" s="54" t="str">
        <x:v>Prevents permanent attack spam.</x:v>
      </x:c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 ht="15" hidden="0" customHeight="1">
      <x:c r="A13" s="54" t="str">
        <x:v>Guard cost</x:v>
      </x:c>
      <x:c r="B13" s="76" t="n">
        <x:v>1</x:v>
      </x:c>
      <x:c r="C13" s="54" t="str">
        <x:v>mana</x:v>
      </x:c>
      <x:c r="D13" s="54" t="str">
        <x:v>Prevents permanent zero-risk defense.</x:v>
      </x:c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15" hidden="0" customHeight="1">
      <x:c r="A14" s="54" t="str">
        <x:v>Recharge gain</x:v>
      </x:c>
      <x:c r="B14" s="76" t="n">
        <x:v>3</x:v>
      </x:c>
      <x:c r="C14" s="54" t="str">
        <x:v>mana</x:v>
      </x:c>
      <x:c r="D14" s="54" t="str">
        <x:v>A vulnerable turn usually funds one Strike and one Guard.</x:v>
      </x:c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15" hidden="0" customHeight="1">
      <x:c r="A15" s="54" t="str">
        <x:v>Turn limit</x:v>
      </x:c>
      <x:c r="B15" s="76" t="n">
        <x:v>30</x:v>
      </x:c>
      <x:c r="C15" s="54" t="str">
        <x:v>turns</x:v>
      </x:c>
      <x:c r="D15" s="54" t="str">
        <x:v>Caps stalling and keeps a match near two to four minutes.</x:v>
      </x:c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15" hidden="0" customHeight="1">
      <x:c r="A16" s="54" t="str">
        <x:v>Missed-turn forfeit</x:v>
      </x:c>
      <x:c r="B16" s="76" t="n">
        <x:v>3</x:v>
      </x:c>
      <x:c r="C16" s="54" t="str">
        <x:v>consecutive turns</x:v>
      </x:c>
      <x:c r="D16" s="54" t="str">
        <x:v>Reconnect is possible, but an absent player cannot stall forever.</x:v>
      </x:c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15" hidden="0" customHeight="1">
      <x:c r="A17" s="54" t="str">
        <x:v>Rules version</x:v>
      </x:c>
      <x:c r="B17" s="76" t="n">
        <x:v>2</x:v>
      </x:c>
      <x:c r="C17" s="54" t="str">
        <x:v>integer</x:v>
      </x:c>
      <x:c r="D17" s="54" t="str">
        <x:v>Version 1 remains the existing automatic battle.</x:v>
      </x:c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15" hidden="0" customHeight="1">
      <x:c r="A20" s="46" t="str">
        <x:v>Pair</x:v>
      </x:c>
      <x:c r="B20" s="47" t="str">
        <x:v>Player A</x:v>
      </x:c>
      <x:c r="C20" s="47" t="str">
        <x:v>Player B</x:v>
      </x:c>
      <x:c r="D20" s="47" t="str">
        <x:v>A mana</x:v>
      </x:c>
      <x:c r="E20" s="47" t="str">
        <x:v>B mana</x:v>
      </x:c>
      <x:c r="F20" s="47" t="str">
        <x:v>Damage to A</x:v>
      </x:c>
      <x:c r="G20" s="47" t="str">
        <x:v>Damage to B</x:v>
      </x:c>
      <x:c r="H20" s="47" t="str">
        <x:v>Resolve</x:v>
      </x:c>
      <x:c r="I20" s="48" t="str">
        <x:v>Notes</x:v>
      </x:c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 ht="15" hidden="0" customHeight="1">
      <x:c r="A21" s="53" t="n">
        <x:v>1</x:v>
      </x:c>
      <x:c r="B21" s="53" t="str">
        <x:v>Strike</x:v>
      </x:c>
      <x:c r="C21" s="53" t="str">
        <x:v>Strike</x:v>
      </x:c>
      <x:c r="D21" s="53" t="n">
        <x:v>-2</x:v>
      </x:c>
      <x:c r="E21" s="53" t="n">
        <x:v>-2</x:v>
      </x:c>
      <x:c r="F21" s="53" t="str">
        <x:v>B raw damage</x:v>
      </x:c>
      <x:c r="G21" s="53" t="str">
        <x:v>A raw damage</x:v>
      </x:c>
      <x:c r="H21" s="53" t="str">
        <x:v>Simultaneous</x:v>
      </x:c>
      <x:c r="I21" s="53" t="str">
        <x:v>Both living cards act from the pre-turn snapshot. Double KO is valid.</x:v>
      </x:c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 ht="15" hidden="0" customHeight="1">
      <x:c r="A22" s="54" t="n">
        <x:v>2</x:v>
      </x:c>
      <x:c r="B22" s="54" t="str">
        <x:v>Strike</x:v>
      </x:c>
      <x:c r="C22" s="54" t="str">
        <x:v>Guard</x:v>
      </x:c>
      <x:c r="D22" s="54" t="n">
        <x:v>-2</x:v>
      </x:c>
      <x:c r="E22" s="54" t="n">
        <x:v>-1</x:v>
      </x:c>
      <x:c r="F22" s="54" t="n">
        <x:v>0</x:v>
      </x:c>
      <x:c r="G22" s="54" t="str">
        <x:v>MAX(0, A raw - B Shield)</x:v>
      </x:c>
      <x:c r="H22" s="54" t="str">
        <x:v>Simultaneous</x:v>
      </x:c>
      <x:c r="I22" s="54" t="str">
        <x:v>Guard applies only to incoming damage this turn.</x:v>
      </x:c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 ht="15" hidden="0" customHeight="1">
      <x:c r="A23" s="54" t="n">
        <x:v>3</x:v>
      </x:c>
      <x:c r="B23" s="54" t="str">
        <x:v>Strike</x:v>
      </x:c>
      <x:c r="C23" s="54" t="str">
        <x:v>Recharge</x:v>
      </x:c>
      <x:c r="D23" s="54" t="n">
        <x:v>-2</x:v>
      </x:c>
      <x:c r="E23" s="54" t="n">
        <x:v>3</x:v>
      </x:c>
      <x:c r="F23" s="54" t="n">
        <x:v>0</x:v>
      </x:c>
      <x:c r="G23" s="54" t="str">
        <x:v>A raw damage</x:v>
      </x:c>
      <x:c r="H23" s="54" t="str">
        <x:v>Simultaneous</x:v>
      </x:c>
      <x:c r="I23" s="54" t="str">
        <x:v>Recharge is exposed to full damage.</x:v>
      </x:c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 ht="15" hidden="0" customHeight="1">
      <x:c r="A24" s="54" t="n">
        <x:v>4</x:v>
      </x:c>
      <x:c r="B24" s="54" t="str">
        <x:v>Guard</x:v>
      </x:c>
      <x:c r="C24" s="54" t="str">
        <x:v>Strike</x:v>
      </x:c>
      <x:c r="D24" s="54" t="n">
        <x:v>-1</x:v>
      </x:c>
      <x:c r="E24" s="54" t="n">
        <x:v>-2</x:v>
      </x:c>
      <x:c r="F24" s="54" t="str">
        <x:v>MAX(0, B raw - A Shield)</x:v>
      </x:c>
      <x:c r="G24" s="54" t="n">
        <x:v>0</x:v>
      </x:c>
      <x:c r="H24" s="54" t="str">
        <x:v>Simultaneous</x:v>
      </x:c>
      <x:c r="I24" s="54" t="str">
        <x:v>Mirrors Strike versus Guard.</x:v>
      </x:c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 ht="15" hidden="0" customHeight="1">
      <x:c r="A25" s="54" t="n">
        <x:v>5</x:v>
      </x:c>
      <x:c r="B25" s="54" t="str">
        <x:v>Guard</x:v>
      </x:c>
      <x:c r="C25" s="54" t="str">
        <x:v>Guard</x:v>
      </x:c>
      <x:c r="D25" s="54" t="n">
        <x:v>-1</x:v>
      </x:c>
      <x:c r="E25" s="54" t="n">
        <x:v>-1</x:v>
      </x:c>
      <x:c r="F25" s="54" t="n">
        <x:v>0</x:v>
      </x:c>
      <x:c r="G25" s="54" t="n">
        <x:v>0</x:v>
      </x:c>
      <x:c r="H25" s="54" t="str">
        <x:v>Simultaneous</x:v>
      </x:c>
      <x:c r="I25" s="54" t="str">
        <x:v>Both spend mana. Temporary block expires unused.</x:v>
      </x:c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 ht="15" hidden="0" customHeight="1">
      <x:c r="A26" s="54" t="n">
        <x:v>6</x:v>
      </x:c>
      <x:c r="B26" s="54" t="str">
        <x:v>Guard</x:v>
      </x:c>
      <x:c r="C26" s="54" t="str">
        <x:v>Recharge</x:v>
      </x:c>
      <x:c r="D26" s="54" t="n">
        <x:v>-1</x:v>
      </x:c>
      <x:c r="E26" s="54" t="n">
        <x:v>3</x:v>
      </x:c>
      <x:c r="F26" s="54" t="n">
        <x:v>0</x:v>
      </x:c>
      <x:c r="G26" s="54" t="n">
        <x:v>0</x:v>
      </x:c>
      <x:c r="H26" s="54" t="str">
        <x:v>Simultaneous</x:v>
      </x:c>
      <x:c r="I26" s="54" t="str">
        <x:v>Guard is wasted; Recharge gains mana.</x:v>
      </x:c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 ht="15" hidden="0" customHeight="1">
      <x:c r="A27" s="54" t="n">
        <x:v>7</x:v>
      </x:c>
      <x:c r="B27" s="54" t="str">
        <x:v>Recharge</x:v>
      </x:c>
      <x:c r="C27" s="54" t="str">
        <x:v>Strike</x:v>
      </x:c>
      <x:c r="D27" s="54" t="n">
        <x:v>3</x:v>
      </x:c>
      <x:c r="E27" s="54" t="n">
        <x:v>-2</x:v>
      </x:c>
      <x:c r="F27" s="54" t="str">
        <x:v>B raw damage</x:v>
      </x:c>
      <x:c r="G27" s="54" t="n">
        <x:v>0</x:v>
      </x:c>
      <x:c r="H27" s="54" t="str">
        <x:v>Simultaneous</x:v>
      </x:c>
      <x:c r="I27" s="54" t="str">
        <x:v>Recharge is exposed to full damage.</x:v>
      </x:c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 ht="15" hidden="0" customHeight="1">
      <x:c r="A28" s="54" t="n">
        <x:v>8</x:v>
      </x:c>
      <x:c r="B28" s="54" t="str">
        <x:v>Recharge</x:v>
      </x:c>
      <x:c r="C28" s="54" t="str">
        <x:v>Guard</x:v>
      </x:c>
      <x:c r="D28" s="54" t="n">
        <x:v>3</x:v>
      </x:c>
      <x:c r="E28" s="54" t="n">
        <x:v>-1</x:v>
      </x:c>
      <x:c r="F28" s="54" t="n">
        <x:v>0</x:v>
      </x:c>
      <x:c r="G28" s="54" t="n">
        <x:v>0</x:v>
      </x:c>
      <x:c r="H28" s="54" t="str">
        <x:v>Simultaneous</x:v>
      </x:c>
      <x:c r="I28" s="54" t="str">
        <x:v>Recharge gains mana; Guard expires unused.</x:v>
      </x:c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15" hidden="0" customHeight="1">
      <x:c r="A29" s="54" t="n">
        <x:v>9</x:v>
      </x:c>
      <x:c r="B29" s="54" t="str">
        <x:v>Recharge</x:v>
      </x:c>
      <x:c r="C29" s="54" t="str">
        <x:v>Recharge</x:v>
      </x:c>
      <x:c r="D29" s="54" t="n">
        <x:v>3</x:v>
      </x:c>
      <x:c r="E29" s="54" t="n">
        <x:v>3</x:v>
      </x:c>
      <x:c r="F29" s="54" t="n">
        <x:v>0</x:v>
      </x:c>
      <x:c r="G29" s="54" t="n">
        <x:v>0</x:v>
      </x:c>
      <x:c r="H29" s="54" t="str">
        <x:v>Simultaneous</x:v>
      </x:c>
      <x:c r="I29" s="54" t="str">
        <x:v>Both gain mana up to the cap.</x:v>
      </x:c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 ht="15" hidden="0" customHeight="1">
      <x:c r="A32" s="46" t="str">
        <x:v>Catalogue ID</x:v>
      </x:c>
      <x:c r="B32" s="47" t="str">
        <x:v>Creature</x:v>
      </x:c>
      <x:c r="C32" s="47" t="str">
        <x:v>HP</x:v>
      </x:c>
      <x:c r="D32" s="47" t="str">
        <x:v>Attack</x:v>
      </x:c>
      <x:c r="E32" s="47" t="str">
        <x:v>Defense</x:v>
      </x:c>
      <x:c r="F32" s="47" t="str">
        <x:v>Speed</x:v>
      </x:c>
      <x:c r="G32" s="47" t="str">
        <x:v>Shield</x:v>
      </x:c>
      <x:c r="H32" s="47" t="str">
        <x:v>Strike power</x:v>
      </x:c>
      <x:c r="I32" s="48" t="str">
        <x:v>Raw damage vs Defense 50</x:v>
      </x:c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 ht="15" hidden="0" customHeight="1">
      <x:c r="A33" s="53" t="n">
        <x:v>1001</x:v>
      </x:c>
      <x:c r="B33" s="53" t="str">
        <x:v>Chihuahua</x:v>
      </x:c>
      <x:c r="C33" s="53" t="n">
        <x:v>80</x:v>
      </x:c>
      <x:c r="D33" s="53" t="n">
        <x:v>55</x:v>
      </x:c>
      <x:c r="E33" s="53" t="n">
        <x:v>35</x:v>
      </x:c>
      <x:c r="F33" s="53" t="n">
        <x:v>95</x:v>
      </x:c>
      <x:c r="G33" s="53" t="n">
        <x:v>35</x:v>
      </x:c>
      <x:c r="H33" s="77" t="n">
        <x:f>D33+INT(F33/5)</x:f>
        <x:v>74</x:v>
      </x:c>
      <x:c r="I33" s="77" t="n">
        <x:f>MAX(1,INT(H33*100/(100+50)))</x:f>
        <x:v>49</x:v>
      </x:c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 ht="15" hidden="0" customHeight="1">
      <x:c r="A34" s="54" t="n">
        <x:v>1002</x:v>
      </x:c>
      <x:c r="B34" s="54" t="str">
        <x:v>Golden Retriever</x:v>
      </x:c>
      <x:c r="C34" s="54" t="n">
        <x:v>115</x:v>
      </x:c>
      <x:c r="D34" s="54" t="n">
        <x:v>60</x:v>
      </x:c>
      <x:c r="E34" s="54" t="n">
        <x:v>55</x:v>
      </x:c>
      <x:c r="F34" s="54" t="n">
        <x:v>45</x:v>
      </x:c>
      <x:c r="G34" s="54" t="n">
        <x:v>25</x:v>
      </x:c>
      <x:c r="H34" s="78" t="n">
        <x:f>D34+INT(F34/5)</x:f>
        <x:v>69</x:v>
      </x:c>
      <x:c r="I34" s="78" t="n">
        <x:f>MAX(1,INT(H34*100/(100+50)))</x:f>
        <x:v>46</x:v>
      </x:c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15" hidden="0" customHeight="1">
      <x:c r="A35" s="54" t="n">
        <x:v>1003</x:v>
      </x:c>
      <x:c r="B35" s="54" t="str">
        <x:v>German Shepherd</x:v>
      </x:c>
      <x:c r="C35" s="54" t="n">
        <x:v>100</x:v>
      </x:c>
      <x:c r="D35" s="54" t="n">
        <x:v>72</x:v>
      </x:c>
      <x:c r="E35" s="54" t="n">
        <x:v>55</x:v>
      </x:c>
      <x:c r="F35" s="54" t="n">
        <x:v>55</x:v>
      </x:c>
      <x:c r="G35" s="54" t="n">
        <x:v>18</x:v>
      </x:c>
      <x:c r="H35" s="78" t="n">
        <x:f>D35+INT(F35/5)</x:f>
        <x:v>83</x:v>
      </x:c>
      <x:c r="I35" s="78" t="n">
        <x:f>MAX(1,INT(H35*100/(100+50)))</x:f>
        <x:v>55</x:v>
      </x:c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 ht="15" hidden="0" customHeight="1">
      <x:c r="A36" s="54" t="n">
        <x:v>1004</x:v>
      </x:c>
      <x:c r="B36" s="54" t="str">
        <x:v>Tabby Cat</x:v>
      </x:c>
      <x:c r="C36" s="54" t="n">
        <x:v>90</x:v>
      </x:c>
      <x:c r="D36" s="54" t="n">
        <x:v>60</x:v>
      </x:c>
      <x:c r="E36" s="54" t="n">
        <x:v>40</x:v>
      </x:c>
      <x:c r="F36" s="54" t="n">
        <x:v>80</x:v>
      </x:c>
      <x:c r="G36" s="54" t="n">
        <x:v>30</x:v>
      </x:c>
      <x:c r="H36" s="78" t="n">
        <x:f>D36+INT(F36/5)</x:f>
        <x:v>76</x:v>
      </x:c>
      <x:c r="I36" s="78" t="n">
        <x:f>MAX(1,INT(H36*100/(100+50)))</x:f>
        <x:v>50</x:v>
      </x:c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 ht="15" hidden="0" customHeight="1">
      <x:c r="A37" s="54" t="n">
        <x:v>1005</x:v>
      </x:c>
      <x:c r="B37" s="54" t="str">
        <x:v>Persian Cat</x:v>
      </x:c>
      <x:c r="C37" s="54" t="n">
        <x:v>102</x:v>
      </x:c>
      <x:c r="D37" s="54" t="n">
        <x:v>55</x:v>
      </x:c>
      <x:c r="E37" s="54" t="n">
        <x:v>57</x:v>
      </x:c>
      <x:c r="F37" s="54" t="n">
        <x:v>35</x:v>
      </x:c>
      <x:c r="G37" s="54" t="n">
        <x:v>40</x:v>
      </x:c>
      <x:c r="H37" s="78" t="n">
        <x:f>D37+INT(F37/5)</x:f>
        <x:v>62</x:v>
      </x:c>
      <x:c r="I37" s="78" t="n">
        <x:f>MAX(1,INT(H37*100/(100+50)))</x:f>
        <x:v>41</x:v>
      </x:c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 ht="15" hidden="0" customHeight="1">
      <x:c r="A38" s="54" t="n">
        <x:v>1006</x:v>
      </x:c>
      <x:c r="B38" s="54" t="str">
        <x:v>Monarch Butterfly</x:v>
      </x:c>
      <x:c r="C38" s="54" t="n">
        <x:v>75</x:v>
      </x:c>
      <x:c r="D38" s="54" t="n">
        <x:v>55</x:v>
      </x:c>
      <x:c r="E38" s="54" t="n">
        <x:v>35</x:v>
      </x:c>
      <x:c r="F38" s="54" t="n">
        <x:v>100</x:v>
      </x:c>
      <x:c r="G38" s="54" t="n">
        <x:v>35</x:v>
      </x:c>
      <x:c r="H38" s="78" t="n">
        <x:f>D38+INT(F38/5)</x:f>
        <x:v>75</x:v>
      </x:c>
      <x:c r="I38" s="78" t="n">
        <x:f>MAX(1,INT(H38*100/(100+50)))</x:f>
        <x:v>50</x:v>
      </x:c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 ht="15" hidden="0" customHeight="1">
      <x:c r="A41" s="46" t="str">
        <x:v>Resolution rules</x:v>
      </x:c>
      <x:c r="B41" s="47"/>
      <x:c r="C41" s="47"/>
      <x:c r="D41" s="47"/>
      <x:c r="E41" s="47"/>
      <x:c r="F41" s="47"/>
      <x:c r="G41" s="47"/>
      <x:c r="H41" s="47"/>
      <x:c r="I41" s="48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 ht="15" hidden="0" customHeight="1">
      <x:c r="A42" s="81" t="str">
        <x:v>1. Raw damage = MAX(1, FLOOR((Attack + FLOOR(Speed / 5)) × 100 / (100 + defender Defense))).</x:v>
      </x:c>
      <x:c r="B42" s="81"/>
      <x:c r="C42" s="81"/>
      <x:c r="D42" s="81"/>
      <x:c r="E42" s="81"/>
      <x:c r="F42" s="81"/>
      <x:c r="G42" s="81"/>
      <x:c r="H42" s="81"/>
      <x:c r="I42" s="8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 ht="15" hidden="0" customHeight="1">
      <x:c r="A43" s="81" t="str">
        <x:v>2. Guarded damage = MAX(0, raw damage - defender Shield). Guard does not persist and Recharge does not restore HP or Shield.</x:v>
      </x:c>
      <x:c r="B43" s="81"/>
      <x:c r="C43" s="81"/>
      <x:c r="D43" s="81"/>
      <x:c r="E43" s="81"/>
      <x:c r="F43" s="81"/>
      <x:c r="G43" s="81"/>
      <x:c r="H43" s="81"/>
      <x:c r="I43" s="8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 ht="15" hidden="0" customHeight="1">
      <x:c r="A44" s="81" t="str">
        <x:v>3. Action eligibility is captured at turn start. Both living active creatures complete their selected action before KO checks.</x:v>
      </x:c>
      <x:c r="B44" s="81"/>
      <x:c r="C44" s="81"/>
      <x:c r="D44" s="81"/>
      <x:c r="E44" s="81"/>
      <x:c r="F44" s="81"/>
      <x:c r="G44" s="81"/>
      <x:c r="H44" s="81"/>
      <x:c r="I44" s="8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 ht="15" hidden="0" customHeight="1">
      <x:c r="A45" s="81" t="str">
        <x:v>4. If both active creatures reach 0 HP, both teams advance to the next slot together. If both final creatures fall, the result is Draw.</x:v>
      </x:c>
      <x:c r="B45" s="81"/>
      <x:c r="C45" s="81"/>
      <x:c r="D45" s="81"/>
      <x:c r="E45" s="81"/>
      <x:c r="F45" s="81"/>
      <x:c r="G45" s="81"/>
      <x:c r="H45" s="81"/>
      <x:c r="I45" s="8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 ht="15" hidden="0" customHeight="1">
      <x:c r="A46" s="81" t="str">
        <x:v>5. A choice is private until both players lock or the five-second deadline expires. Invalid or missing input becomes Recharge.</x:v>
      </x:c>
      <x:c r="B46" s="81"/>
      <x:c r="C46" s="81"/>
      <x:c r="D46" s="81"/>
      <x:c r="E46" s="81"/>
      <x:c r="F46" s="81"/>
      <x:c r="G46" s="81"/>
      <x:c r="H46" s="81"/>
      <x:c r="I46" s="8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 ht="15" hidden="0" customHeight="1">
      <x:c r="A47" s="81" t="str">
        <x:v>6. At turn 30, compare remaining HP as a percentage of each team's starting HP, then total mana. Equal values produce Draw and refund.</x:v>
      </x:c>
      <x:c r="B47" s="81"/>
      <x:c r="C47" s="81"/>
      <x:c r="D47" s="81"/>
      <x:c r="E47" s="81"/>
      <x:c r="F47" s="81"/>
      <x:c r="G47" s="81"/>
      <x:c r="H47" s="81"/>
      <x:c r="I47" s="8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 ht="15" hidden="0" customHeight="1">
      <x:c r="A48" s="81" t="str">
        <x:v>7. No random numbers, critical hits, dodge, healing, swapping, items, upgrades, or skills exist in this slice.</x:v>
      </x:c>
      <x:c r="B48" s="81"/>
      <x:c r="C48" s="81"/>
      <x:c r="D48" s="81"/>
      <x:c r="E48" s="81"/>
      <x:c r="F48" s="81"/>
      <x:c r="G48" s="81"/>
      <x:c r="H48" s="81"/>
      <x:c r="I48" s="8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</x:row>
  </x:sheetData>
  <x:mergeCells>
    <x:mergeCell ref="A2:I2"/>
    <x:mergeCell ref="A3:I3"/>
    <x:mergeCell ref="A41:I41"/>
    <x:mergeCell ref="A42:I42"/>
    <x:mergeCell ref="A43:I43"/>
    <x:mergeCell ref="A44:I44"/>
    <x:mergeCell ref="A45:I45"/>
    <x:mergeCell ref="A46:I46"/>
    <x:mergeCell ref="A47:I47"/>
    <x:mergeCell ref="A48:I4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0" hidden="0" customWidth="1"/>
    <x:col min="2" max="2" width="31" hidden="0" customWidth="1"/>
    <x:col min="3" max="3" width="34" hidden="0" customWidth="1"/>
    <x:col min="4" max="4" width="30" hidden="0" customWidth="1"/>
    <x:col min="5" max="5" width="27" hidden="0" customWidth="1"/>
    <x:col min="6" max="6" width="32" hidden="0" customWidth="1"/>
    <x:col min="7" max="7" width="28" hidden="0" customWidth="1"/>
    <x:col min="8" max="8" width="34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2" t="str">
        <x:v>Battle screen, timing, and authority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3" t="str">
        <x:v>One shared server clock drives both players. The UI renders authoritative events and never calculates the winner.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4"/>
      <x:c r="B4" s="4"/>
      <x:c r="C4" s="4"/>
      <x:c r="D4" s="4"/>
      <x:c r="E4" s="4"/>
      <x:c r="F4" s="4"/>
      <x:c r="G4" s="4"/>
      <x:c r="H4" s="4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15" hidden="0" customHeight="1">
      <x:c r="A6" s="46" t="str">
        <x:v>Stage</x:v>
      </x:c>
      <x:c r="B6" s="47" t="str">
        <x:v>Mobile placement</x:v>
      </x:c>
      <x:c r="C6" s="47" t="str">
        <x:v>Primary content</x:v>
      </x:c>
      <x:c r="D6" s="47" t="str">
        <x:v>Player action</x:v>
      </x:c>
      <x:c r="E6" s="47" t="str">
        <x:v>Server state</x:v>
      </x:c>
      <x:c r="F6" s="47" t="str">
        <x:v>Animation</x:v>
      </x:c>
      <x:c r="G6" s="47" t="str">
        <x:v>Fallback</x:v>
      </x:c>
      <x:c r="H6" s="48" t="str">
        <x:v>Acceptance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15" hidden="0" customHeight="1">
      <x:c r="A7" s="53" t="str">
        <x:v>Waiting</x:v>
      </x:c>
      <x:c r="B7" s="53" t="str">
        <x:v>Cards centered; action tray hidden</x:v>
      </x:c>
      <x:c r="C7" s="53" t="str">
        <x:v>Two ordered teams and opponent connection</x:v>
      </x:c>
      <x:c r="D7" s="53" t="str">
        <x:v>Wait or leave before stake lock</x:v>
      </x:c>
      <x:c r="E7" s="53" t="str">
        <x:v>WaitingForOpponent</x:v>
      </x:c>
      <x:c r="F7" s="53" t="str">
        <x:v>Soft card entrance</x:v>
      </x:c>
      <x:c r="G7" s="53" t="str">
        <x:v>Show reconnect and cancel</x:v>
      </x:c>
      <x:c r="H7" s="53" t="str">
        <x:v>Both clients use the same match URL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24" hidden="0" customHeight="1">
      <x:c r="A8" s="54" t="str">
        <x:v>Choose</x:v>
      </x:c>
      <x:c r="B8" s="54" t="str">
        <x:v>Opponent card top; own card above bottom tray</x:v>
      </x:c>
      <x:c r="C8" s="54" t="str">
        <x:v>HP, mana, three bench thumbnails, turn 1, 5.0s timer</x:v>
      </x:c>
      <x:c r="D8" s="54" t="str">
        <x:v>Tap Strike, Guard, or Recharge</x:v>
      </x:c>
      <x:c r="E8" s="54" t="str">
        <x:v>Choosing with server deadline</x:v>
      </x:c>
      <x:c r="F8" s="54" t="str">
        <x:v>Selected button compresses and shows Locked</x:v>
      </x:c>
      <x:c r="G8" s="54" t="str">
        <x:v>No input becomes Recharge</x:v>
      </x:c>
      <x:c r="H8" s="54" t="str">
        <x:v>Buttons are at least 48px high and usable by keyboard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24" hidden="0" customHeight="1">
      <x:c r="A9" s="54" t="str">
        <x:v>Locked</x:v>
      </x:c>
      <x:c r="B9" s="54" t="str">
        <x:v>Action tray remains visible but disabled</x:v>
      </x:c>
      <x:c r="C9" s="54" t="str">
        <x:v>Your choice is shown; opponent shows Ready, never its action</x:v>
      </x:c>
      <x:c r="D9" s="54" t="str">
        <x:v>Wait</x:v>
      </x:c>
      <x:c r="E9" s="54" t="str">
        <x:v>One or both inputs stored privately</x:v>
      </x:c>
      <x:c r="F9" s="54" t="str">
        <x:v>Countdown ring continues</x:v>
      </x:c>
      <x:c r="G9" s="54" t="str">
        <x:v>Reconnect restores locked state</x:v>
      </x:c>
      <x:c r="H9" s="54" t="str">
        <x:v>No early choice leak</x:v>
      </x:c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24" hidden="0" customHeight="1">
      <x:c r="A10" s="54" t="str">
        <x:v>Resolve</x:v>
      </x:c>
      <x:c r="B10" s="54" t="str">
        <x:v>Cards remain in stable positions</x:v>
      </x:c>
      <x:c r="C10" s="54" t="str">
        <x:v>Both action names and exact changes</x:v>
      </x:c>
      <x:c r="D10" s="54" t="str">
        <x:v>Watch</x:v>
      </x:c>
      <x:c r="E10" s="54" t="str">
        <x:v>Authoritative event appended</x:v>
      </x:c>
      <x:c r="F10" s="54" t="str">
        <x:v>250ms anticipation; 450ms simultaneous action; 500ms bars</x:v>
      </x:c>
      <x:c r="G10" s="54" t="str">
        <x:v>Reduced motion uses fade and instant positions</x:v>
      </x:c>
      <x:c r="H10" s="54" t="str">
        <x:v>Animation never affects rules or deadlines</x:v>
      </x:c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15" hidden="0" customHeight="1">
      <x:c r="A11" s="54" t="str">
        <x:v>KO</x:v>
      </x:c>
      <x:c r="B11" s="54" t="str">
        <x:v>Defeated card stays visible briefly</x:v>
      </x:c>
      <x:c r="C11" s="54" t="str">
        <x:v>0 HP, KO label, next slot preview</x:v>
      </x:c>
      <x:c r="D11" s="54" t="str">
        <x:v>Watch</x:v>
      </x:c>
      <x:c r="E11" s="54" t="str">
        <x:v>Active slot advances</x:v>
      </x:c>
      <x:c r="F11" s="54" t="str">
        <x:v>Card desaturates and lowers; next card enters</x:v>
      </x:c>
      <x:c r="G11" s="54" t="str">
        <x:v>Static opacity change</x:v>
      </x:c>
      <x:c r="H11" s="54" t="str">
        <x:v>Double KO advances both sides together</x:v>
      </x:c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24" hidden="0" customHeight="1">
      <x:c r="A12" s="54" t="str">
        <x:v>Finished</x:v>
      </x:c>
      <x:c r="B12" s="54" t="str">
        <x:v>Result sheet above disabled battlefield</x:v>
      </x:c>
      <x:c r="C12" s="54" t="str">
        <x:v>Winner or Draw, turns, stake result, event-log hash status</x:v>
      </x:c>
      <x:c r="D12" s="54" t="str">
        <x:v>Winner claims; both can inspect history</x:v>
      </x:c>
      <x:c r="E12" s="54" t="str">
        <x:v>AwaitingSettlement or Resolved</x:v>
      </x:c>
      <x:c r="F12" s="54" t="str">
        <x:v>Short result reveal</x:v>
      </x:c>
      <x:c r="G12" s="54" t="str">
        <x:v>Pending settlement keeps honest status</x:v>
      </x:c>
      <x:c r="H12" s="54" t="str">
        <x:v>No client-declared winner</x:v>
      </x:c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15" hidden="0" customHeight="1">
      <x:c r="A15" s="46" t="str">
        <x:v>Field</x:v>
      </x:c>
      <x:c r="B15" s="47" t="str">
        <x:v>Example</x:v>
      </x:c>
      <x:c r="C15" s="47" t="str">
        <x:v>Browser</x:v>
      </x:c>
      <x:c r="D15" s="47" t="str">
        <x:v>Live server</x:v>
      </x:c>
      <x:c r="E15" s="47" t="str">
        <x:v>Supabase</x:v>
      </x:c>
      <x:c r="F15" s="47" t="str">
        <x:v>Solana</x:v>
      </x:c>
      <x:c r="G15" s="47" t="str">
        <x:v>Public to opponent</x:v>
      </x:c>
      <x:c r="H15" s="48" t="str">
        <x:v>Rule</x:v>
      </x:c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15" hidden="0" customHeight="1">
      <x:c r="A16" s="53" t="str">
        <x:v>catalogue_id</x:v>
      </x:c>
      <x:c r="B16" s="53" t="n">
        <x:v>1003</x:v>
      </x:c>
      <x:c r="C16" s="53" t="str">
        <x:v>Read</x:v>
      </x:c>
      <x:c r="D16" s="53" t="str">
        <x:v>Read</x:v>
      </x:c>
      <x:c r="E16" s="53" t="str">
        <x:v>Metadata mirror</x:v>
      </x:c>
      <x:c r="F16" s="53" t="str">
        <x:v>SpeciesConfig authority</x:v>
      </x:c>
      <x:c r="G16" s="53" t="str">
        <x:v>Yes</x:v>
      </x:c>
      <x:c r="H16" s="53" t="str">
        <x:v>Numeric ID joins catalogue and onchain stats</x:v>
      </x:c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15" hidden="0" customHeight="1">
      <x:c r="A17" s="54" t="str">
        <x:v>ordered team</x:v>
      </x:c>
      <x:c r="B17" s="54" t="str">
        <x:v>[Creature A, B, C]</x:v>
      </x:c>
      <x:c r="C17" s="54" t="str">
        <x:v>Select</x:v>
      </x:c>
      <x:c r="D17" s="54" t="str">
        <x:v>Read</x:v>
      </x:c>
      <x:c r="E17" s="54" t="str">
        <x:v>No</x:v>
      </x:c>
      <x:c r="F17" s="54" t="str">
        <x:v>Match authority</x:v>
      </x:c>
      <x:c r="G17" s="54" t="str">
        <x:v>Yes</x:v>
      </x:c>
      <x:c r="H17" s="54" t="str">
        <x:v>Three distinct owned Creature accounts</x:v>
      </x:c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15" hidden="0" customHeight="1">
      <x:c r="A18" s="54" t="str">
        <x:v>turn deadline</x:v>
      </x:c>
      <x:c r="B18" s="54" t="str">
        <x:v>T+5000ms</x:v>
      </x:c>
      <x:c r="C18" s="54" t="str">
        <x:v>Display</x:v>
      </x:c>
      <x:c r="D18" s="54" t="str">
        <x:v>Authority</x:v>
      </x:c>
      <x:c r="E18" s="54" t="str">
        <x:v>No</x:v>
      </x:c>
      <x:c r="F18" s="54" t="str">
        <x:v>No</x:v>
      </x:c>
      <x:c r="G18" s="54" t="str">
        <x:v>Yes</x:v>
      </x:c>
      <x:c r="H18" s="54" t="str">
        <x:v>Never use a client countdown as truth</x:v>
      </x:c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15" hidden="0" customHeight="1">
      <x:c r="A19" s="54" t="str">
        <x:v>turn choice</x:v>
      </x:c>
      <x:c r="B19" s="54" t="str">
        <x:v>Strike</x:v>
      </x:c>
      <x:c r="C19" s="54" t="str">
        <x:v>Submit</x:v>
      </x:c>
      <x:c r="D19" s="54" t="str">
        <x:v>Private authority until reveal</x:v>
      </x:c>
      <x:c r="E19" s="54" t="str">
        <x:v>No</x:v>
      </x:c>
      <x:c r="F19" s="54" t="str">
        <x:v>No</x:v>
      </x:c>
      <x:c r="G19" s="54" t="str">
        <x:v>No before reveal</x:v>
      </x:c>
      <x:c r="H19" s="54" t="str">
        <x:v>Do not broadcast early</x:v>
      </x:c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15" hidden="0" customHeight="1">
      <x:c r="A20" s="54" t="str">
        <x:v>HP and mana</x:v>
      </x:c>
      <x:c r="B20" s="54" t="str">
        <x:v>HP 64, mana 3</x:v>
      </x:c>
      <x:c r="C20" s="54" t="str">
        <x:v>Render</x:v>
      </x:c>
      <x:c r="D20" s="54" t="str">
        <x:v>Authority</x:v>
      </x:c>
      <x:c r="E20" s="54" t="str">
        <x:v>No</x:v>
      </x:c>
      <x:c r="F20" s="54" t="str">
        <x:v>No during match</x:v>
      </x:c>
      <x:c r="G20" s="54" t="str">
        <x:v>Yes</x:v>
      </x:c>
      <x:c r="H20" s="54" t="str">
        <x:v>Derived only by deterministic reducer</x:v>
      </x:c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 ht="15" hidden="0" customHeight="1">
      <x:c r="A21" s="54" t="str">
        <x:v>event log</x:v>
      </x:c>
      <x:c r="B21" s="54" t="str">
        <x:v>Turn 8 result</x:v>
      </x:c>
      <x:c r="C21" s="54" t="str">
        <x:v>Cache</x:v>
      </x:c>
      <x:c r="D21" s="54" t="str">
        <x:v>Authority and persistence</x:v>
      </x:c>
      <x:c r="E21" s="54" t="str">
        <x:v>No</x:v>
      </x:c>
      <x:c r="F21" s="54" t="str">
        <x:v>Final hash only</x:v>
      </x:c>
      <x:c r="G21" s="54" t="str">
        <x:v>Yes after reveal</x:v>
      </x:c>
      <x:c r="H21" s="54" t="str">
        <x:v>Ordered canonical serialization</x:v>
      </x:c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 ht="15" hidden="0" customHeight="1">
      <x:c r="A22" s="54" t="str">
        <x:v>stake</x:v>
      </x:c>
      <x:c r="B22" s="54" t="str">
        <x:v>0.01 SOL each</x:v>
      </x:c>
      <x:c r="C22" s="54" t="str">
        <x:v>Display</x:v>
      </x:c>
      <x:c r="D22" s="54" t="str">
        <x:v>Read</x:v>
      </x:c>
      <x:c r="E22" s="54" t="str">
        <x:v>No</x:v>
      </x:c>
      <x:c r="F22" s="54" t="str">
        <x:v>Match escrow authority</x:v>
      </x:c>
      <x:c r="G22" s="54" t="str">
        <x:v>Yes</x:v>
      </x:c>
      <x:c r="H22" s="54" t="str">
        <x:v>No offchain balance decides payout</x:v>
      </x:c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 ht="15" hidden="0" customHeight="1">
      <x:c r="A23" s="54" t="str">
        <x:v>winner</x:v>
      </x:c>
      <x:c r="B23" s="54" t="str">
        <x:v>Opponent</x:v>
      </x:c>
      <x:c r="C23" s="54" t="str">
        <x:v>Display</x:v>
      </x:c>
      <x:c r="D23" s="54" t="str">
        <x:v>Compute for preview only</x:v>
      </x:c>
      <x:c r="E23" s="54" t="str">
        <x:v>No</x:v>
      </x:c>
      <x:c r="F23" s="54" t="str">
        <x:v>Resolved Match authority</x:v>
      </x:c>
      <x:c r="G23" s="54" t="str">
        <x:v>Yes</x:v>
      </x:c>
      <x:c r="H23" s="54" t="str">
        <x:v>Resolver attests; program records once</x:v>
      </x:c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 ht="15" hidden="0" customHeight="1">
      <x:c r="A24" s="54" t="str">
        <x:v>claim</x:v>
      </x:c>
      <x:c r="B24" s="54" t="str">
        <x:v>signature</x:v>
      </x:c>
      <x:c r="C24" s="54" t="str">
        <x:v>Request wallet</x:v>
      </x:c>
      <x:c r="D24" s="54" t="str">
        <x:v>No</x:v>
      </x:c>
      <x:c r="E24" s="54" t="str">
        <x:v>No</x:v>
      </x:c>
      <x:c r="F24" s="54" t="str">
        <x:v>Winner-signed transaction</x:v>
      </x:c>
      <x:c r="G24" s="54" t="str">
        <x:v>Yes</x:v>
      </x:c>
      <x:c r="H24" s="54" t="str">
        <x:v>Only recorded winner can claim</x:v>
      </x:c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 ht="15" hidden="0" customHeight="1">
      <x:c r="A27" s="46" t="str">
        <x:v>Timing event</x:v>
      </x:c>
      <x:c r="B27" s="47" t="str">
        <x:v>T+0ms</x:v>
      </x:c>
      <x:c r="C27" s="47" t="str">
        <x:v>T+250ms</x:v>
      </x:c>
      <x:c r="D27" s="47" t="str">
        <x:v>T+700ms</x:v>
      </x:c>
      <x:c r="E27" s="47" t="str">
        <x:v>T+1200ms</x:v>
      </x:c>
      <x:c r="F27" s="47" t="str">
        <x:v>T+1500ms</x:v>
      </x:c>
      <x:c r="G27" s="47" t="str">
        <x:v>Can skip</x:v>
      </x:c>
      <x:c r="H27" s="48" t="str">
        <x:v>Reduced motion</x:v>
      </x:c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 ht="24" hidden="0" customHeight="1">
      <x:c r="A28" s="53" t="str">
        <x:v>Turn reveal</x:v>
      </x:c>
      <x:c r="B28" s="53" t="str">
        <x:v>Reveal both actions</x:v>
      </x:c>
      <x:c r="C28" s="53" t="str">
        <x:v>Cards brace</x:v>
      </x:c>
      <x:c r="D28" s="53" t="str">
        <x:v>Strike collision / Guard flash / Recharge pulse</x:v>
      </x:c>
      <x:c r="E28" s="53" t="str">
        <x:v>HP and mana settle</x:v>
      </x:c>
      <x:c r="F28" s="53" t="str">
        <x:v>Next timer starts</x:v>
      </x:c>
      <x:c r="G28" s="53" t="str">
        <x:v>No</x:v>
      </x:c>
      <x:c r="H28" s="53" t="str">
        <x:v>Fade labels and update bars</x:v>
      </x:c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15" hidden="0" customHeight="1">
      <x:c r="A29" s="54" t="str">
        <x:v>Strike</x:v>
      </x:c>
      <x:c r="B29" s="54" t="str">
        <x:v>Show Strike</x:v>
      </x:c>
      <x:c r="C29" s="54" t="str">
        <x:v>Move 6px inward</x:v>
      </x:c>
      <x:c r="D29" s="54" t="str">
        <x:v>Both attackers collide simultaneously</x:v>
      </x:c>
      <x:c r="E29" s="54" t="str">
        <x:v>Return to slot</x:v>
      </x:c>
      <x:c r="F29" s="54" t="str">
        <x:v>KO check</x:v>
      </x:c>
      <x:c r="G29" s="54" t="str">
        <x:v>No</x:v>
      </x:c>
      <x:c r="H29" s="54" t="str">
        <x:v>Brief border highlight</x:v>
      </x:c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 ht="15" hidden="0" customHeight="1">
      <x:c r="A30" s="54" t="str">
        <x:v>Guard</x:v>
      </x:c>
      <x:c r="B30" s="54" t="str">
        <x:v>Show Guard</x:v>
      </x:c>
      <x:c r="C30" s="54" t="str">
        <x:v>Shield outline appears</x:v>
      </x:c>
      <x:c r="D30" s="54" t="str">
        <x:v>Incoming hit flashes against outline</x:v>
      </x:c>
      <x:c r="E30" s="54" t="str">
        <x:v>Outline expires</x:v>
      </x:c>
      <x:c r="F30" s="54" t="str">
        <x:v>KO check</x:v>
      </x:c>
      <x:c r="G30" s="54" t="str">
        <x:v>No</x:v>
      </x:c>
      <x:c r="H30" s="54" t="str">
        <x:v>Static shield icon</x:v>
      </x:c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 ht="15" hidden="0" customHeight="1">
      <x:c r="A31" s="54" t="str">
        <x:v>Recharge</x:v>
      </x:c>
      <x:c r="B31" s="54" t="str">
        <x:v>Show Recharge</x:v>
      </x:c>
      <x:c r="C31" s="54" t="str">
        <x:v>Mana bar glows</x:v>
      </x:c>
      <x:c r="D31" s="54" t="str">
        <x:v>Add mana</x:v>
      </x:c>
      <x:c r="E31" s="54" t="str">
        <x:v>Glow fades</x:v>
      </x:c>
      <x:c r="F31" s="54" t="str">
        <x:v>KO check</x:v>
      </x:c>
      <x:c r="G31" s="54" t="str">
        <x:v>No</x:v>
      </x:c>
      <x:c r="H31" s="54" t="str">
        <x:v>Instant mana update with label</x:v>
      </x:c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 ht="15" hidden="0" customHeight="1">
      <x:c r="A34" s="46" t="str">
        <x:v>Implementation recommendation</x:v>
      </x:c>
      <x:c r="B34" s="47"/>
      <x:c r="C34" s="47"/>
      <x:c r="D34" s="47"/>
      <x:c r="E34" s="47"/>
      <x:c r="F34" s="47"/>
      <x:c r="G34" s="47"/>
      <x:c r="H34" s="48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15" hidden="0" customHeight="1">
      <x:c r="A35" s="33" t="str">
        <x:v>Use a dedicated server-authoritative TypeScript room for the prototype. Current Next.js request handlers and Solana account subscriptions are not a hidden-choice, five-second game loop.</x:v>
      </x:c>
      <x:c r="B35" s="33"/>
      <x:c r="C35" s="33"/>
      <x:c r="D35" s="33"/>
      <x:c r="E35" s="33"/>
      <x:c r="F35" s="33"/>
      <x:c r="G35" s="33"/>
      <x:c r="H35" s="33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 ht="15" hidden="0" customHeight="1">
      <x:c r="A36" s="33" t="str">
        <x:v>Authenticate a wallet when entering the room, then submit ordinary signed or authenticated room messages. Do not open the wallet for each turn.</x:v>
      </x:c>
      <x:c r="B36" s="33"/>
      <x:c r="C36" s="33"/>
      <x:c r="D36" s="33"/>
      <x:c r="E36" s="33"/>
      <x:c r="F36" s="33"/>
      <x:c r="G36" s="33"/>
      <x:c r="H36" s="33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 ht="15" hidden="0" customHeight="1">
      <x:c r="A37" s="33" t="str">
        <x:v>The current trusted resolver is acceptable only for the vertical slice. The UI and event schema should allow a later mutual-signature or replay-verifiable settlement without changing combat controls.</x:v>
      </x:c>
      <x:c r="B37" s="33"/>
      <x:c r="C37" s="33"/>
      <x:c r="D37" s="33"/>
      <x:c r="E37" s="33"/>
      <x:c r="F37" s="33"/>
      <x:c r="G37" s="33"/>
      <x:c r="H37" s="33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 ht="15" hidden="0" customHeight="1">
      <x:c r="A38" s="33" t="str">
        <x:v>Reconnect from sessionStorage, request the full authoritative snapshot, and continue the existing server deadline. Never pause or restart a live turn for one client.</x:v>
      </x:c>
      <x:c r="B38" s="33"/>
      <x:c r="C38" s="33"/>
      <x:c r="D38" s="33"/>
      <x:c r="E38" s="33"/>
      <x:c r="F38" s="33"/>
      <x:c r="G38" s="33"/>
      <x:c r="H38" s="33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 ht="15" hidden="0" customHeight="1">
      <x:c r="A41" s="46" t="str">
        <x:v>Source</x:v>
      </x:c>
      <x:c r="B41" s="48" t="str">
        <x:v>URL</x:v>
      </x:c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 ht="24" hidden="0" customHeight="1">
      <x:c r="A42" s="53" t="str">
        <x:v>Server-authoritative active turn-based matches</x:v>
      </x:c>
      <x:c r="B42" s="53" t="str">
        <x:v>https://heroiclabs.com/docs/nakama/concepts/multiplayer/authoritative/</x:v>
      </x:c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 ht="24" hidden="0" customHeight="1">
      <x:c r="A43" s="54" t="str">
        <x:v>Server-owned state synchronization</x:v>
      </x:c>
      <x:c r="B43" s="54" t="str">
        <x:v>https://docs.colyseus.io/state</x:v>
      </x:c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 ht="24" hidden="0" customHeight="1">
      <x:c r="A44" s="54" t="str">
        <x:v>Reconnection snapshots and tokens</x:v>
      </x:c>
      <x:c r="B44" s="54" t="str">
        <x:v>https://docs.colyseus.io/room/reconnection</x:v>
      </x:c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 ht="24" hidden="0" customHeight="1">
      <x:c r="A45" s="54" t="str">
        <x:v>Mobile game control placement and 44pt minimum</x:v>
      </x:c>
      <x:c r="B45" s="54" t="str">
        <x:v>https://developer.apple.com/design/human-interface-guidelines/game-controls</x:v>
      </x:c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 ht="36" hidden="0" customHeight="1">
      <x:c r="A46" s="54" t="str">
        <x:v>Reduced-motion preference</x:v>
      </x:c>
      <x:c r="B46" s="54" t="str">
        <x:v>https://developer.mozilla.org/en-US/docs/Web/CSS/Reference/At-rules/@media/prefers-reduced-motion</x:v>
      </x:c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</x:row>
  </x:sheetData>
  <x:mergeCells>
    <x:mergeCell ref="A2:H2"/>
    <x:mergeCell ref="A3:H3"/>
    <x:mergeCell ref="A34:H34"/>
    <x:mergeCell ref="A35:H35"/>
    <x:mergeCell ref="A36:H36"/>
    <x:mergeCell ref="A37:H37"/>
    <x:mergeCell ref="A38:H38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B45309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1" hidden="0" customWidth="1"/>
    <x:col min="2" max="2" width="15" hidden="0" customWidth="1"/>
    <x:col min="3" max="3" width="36" hidden="0" customWidth="1"/>
    <x:col min="4" max="4" width="30" hidden="0" customWidth="1"/>
    <x:col min="5" max="5" width="55" hidden="0" customWidth="1"/>
    <x:col min="6" max="6" width="12" hidden="0" customWidth="1"/>
    <x:col min="7" max="7" width="14" hidden="0" customWidth="1"/>
    <x:col min="8" max="8" width="14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2" t="str">
        <x:v>Acceptance tests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3" t="str">
        <x:v>Run the deterministic reducer first, then the room, program, UI, and two-browser loop.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4"/>
      <x:c r="B4" s="4"/>
      <x:c r="C4" s="4"/>
      <x:c r="D4" s="4"/>
      <x:c r="E4" s="4"/>
      <x:c r="F4" s="4"/>
      <x:c r="G4" s="4"/>
      <x:c r="H4" s="4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15" hidden="0" customHeight="1">
      <x:c r="A6" s="46" t="str">
        <x:v>ID</x:v>
      </x:c>
      <x:c r="B6" s="47" t="str">
        <x:v>Layer</x:v>
      </x:c>
      <x:c r="C6" s="47" t="str">
        <x:v>Given</x:v>
      </x:c>
      <x:c r="D6" s="47" t="str">
        <x:v>When</x:v>
      </x:c>
      <x:c r="E6" s="47" t="str">
        <x:v>Expected</x:v>
      </x:c>
      <x:c r="F6" s="47" t="str">
        <x:v>Priority</x:v>
      </x:c>
      <x:c r="G6" s="47" t="str">
        <x:v>Automate</x:v>
      </x:c>
      <x:c r="H6" s="48" t="str">
        <x:v>Status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15" hidden="0" customHeight="1">
      <x:c r="A7" s="53" t="str">
        <x:v>AT-01</x:v>
      </x:c>
      <x:c r="B7" s="53" t="str">
        <x:v>Engine</x:v>
      </x:c>
      <x:c r="C7" s="53" t="str">
        <x:v>Both active creatures are alive and choose Strike</x:v>
      </x:c>
      <x:c r="D7" s="53" t="str">
        <x:v>The turn resolves</x:v>
      </x:c>
      <x:c r="E7" s="53" t="str">
        <x:v>Both spend 2 mana and both damages apply from the same pre-turn snapshot</x:v>
      </x:c>
      <x:c r="F7" s="53" t="str">
        <x:v>MUST</x:v>
      </x:c>
      <x:c r="G7" s="53" t="str">
        <x:v>Unit</x:v>
      </x:c>
      <x:c r="H7" s="53" t="str">
        <x:v>Passed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15" hidden="0" customHeight="1">
      <x:c r="A8" s="54" t="str">
        <x:v>AT-02</x:v>
      </x:c>
      <x:c r="B8" s="54" t="str">
        <x:v>Engine</x:v>
      </x:c>
      <x:c r="C8" s="54" t="str">
        <x:v>Both attacks reduce both active creatures to 0 HP</x:v>
      </x:c>
      <x:c r="D8" s="54" t="str">
        <x:v>The turn resolves</x:v>
      </x:c>
      <x:c r="E8" s="54" t="str">
        <x:v>Both actions land, both creatures show KO, and both teams advance together</x:v>
      </x:c>
      <x:c r="F8" s="54" t="str">
        <x:v>MUST</x:v>
      </x:c>
      <x:c r="G8" s="54" t="str">
        <x:v>Unit</x:v>
      </x:c>
      <x:c r="H8" s="54" t="str">
        <x:v>Passed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15" hidden="0" customHeight="1">
      <x:c r="A9" s="54" t="str">
        <x:v>AT-03</x:v>
      </x:c>
      <x:c r="B9" s="54" t="str">
        <x:v>Engine</x:v>
      </x:c>
      <x:c r="C9" s="54" t="str">
        <x:v>A chooses Strike; B chooses Guard</x:v>
      </x:c>
      <x:c r="D9" s="54" t="str">
        <x:v>The turn resolves</x:v>
      </x:c>
      <x:c r="E9" s="54" t="str">
        <x:v>B damage is MAX(0, A raw damage - B Shield); temporary block expires</x:v>
      </x:c>
      <x:c r="F9" s="54" t="str">
        <x:v>MUST</x:v>
      </x:c>
      <x:c r="G9" s="54" t="str">
        <x:v>Unit</x:v>
      </x:c>
      <x:c r="H9" s="54" t="str">
        <x:v>Passed</x:v>
      </x:c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15" hidden="0" customHeight="1">
      <x:c r="A10" s="54" t="str">
        <x:v>AT-04</x:v>
      </x:c>
      <x:c r="B10" s="54" t="str">
        <x:v>Engine</x:v>
      </x:c>
      <x:c r="C10" s="54" t="str">
        <x:v>A chooses Strike; B chooses Recharge</x:v>
      </x:c>
      <x:c r="D10" s="54" t="str">
        <x:v>The turn resolves</x:v>
      </x:c>
      <x:c r="E10" s="54" t="str">
        <x:v>B gains mana up to 5 and receives full damage</x:v>
      </x:c>
      <x:c r="F10" s="54" t="str">
        <x:v>MUST</x:v>
      </x:c>
      <x:c r="G10" s="54" t="str">
        <x:v>Unit</x:v>
      </x:c>
      <x:c r="H10" s="54" t="str">
        <x:v>Passed</x:v>
      </x:c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15" hidden="0" customHeight="1">
      <x:c r="A11" s="54" t="str">
        <x:v>AT-05</x:v>
      </x:c>
      <x:c r="B11" s="54" t="str">
        <x:v>Engine</x:v>
      </x:c>
      <x:c r="C11" s="54" t="str">
        <x:v>A has 1 mana and submits Strike</x:v>
      </x:c>
      <x:c r="D11" s="54" t="str">
        <x:v>The server validates</x:v>
      </x:c>
      <x:c r="E11" s="54" t="str">
        <x:v>Strike is rejected; if no replacement arrives before deadline, Recharge resolves</x:v>
      </x:c>
      <x:c r="F11" s="54" t="str">
        <x:v>MUST</x:v>
      </x:c>
      <x:c r="G11" s="54" t="str">
        <x:v>Unit</x:v>
      </x:c>
      <x:c r="H11" s="54" t="str">
        <x:v>Passed</x:v>
      </x:c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15" hidden="0" customHeight="1">
      <x:c r="A12" s="54" t="str">
        <x:v>AT-06</x:v>
      </x:c>
      <x:c r="B12" s="54" t="str">
        <x:v>Engine</x:v>
      </x:c>
      <x:c r="C12" s="54" t="str">
        <x:v>A uses Recharge at 4 mana</x:v>
      </x:c>
      <x:c r="D12" s="54" t="str">
        <x:v>The turn resolves</x:v>
      </x:c>
      <x:c r="E12" s="54" t="str">
        <x:v>A finishes at 5 mana, never 7</x:v>
      </x:c>
      <x:c r="F12" s="54" t="str">
        <x:v>MUST</x:v>
      </x:c>
      <x:c r="G12" s="54" t="str">
        <x:v>Unit</x:v>
      </x:c>
      <x:c r="H12" s="54" t="str">
        <x:v>Passed</x:v>
      </x:c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 ht="15" hidden="0" customHeight="1">
      <x:c r="A13" s="54" t="str">
        <x:v>AT-07</x:v>
      </x:c>
      <x:c r="B13" s="54" t="str">
        <x:v>Engine</x:v>
      </x:c>
      <x:c r="C13" s="54" t="str">
        <x:v>Both final creatures reach 0 HP together</x:v>
      </x:c>
      <x:c r="D13" s="54" t="str">
        <x:v>KO is evaluated</x:v>
      </x:c>
      <x:c r="E13" s="54" t="str">
        <x:v>Match is Draw and both stakes are refundable</x:v>
      </x:c>
      <x:c r="F13" s="54" t="str">
        <x:v>MUST</x:v>
      </x:c>
      <x:c r="G13" s="54" t="str">
        <x:v>Unit</x:v>
      </x:c>
      <x:c r="H13" s="54" t="str">
        <x:v>Passed</x:v>
      </x:c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15" hidden="0" customHeight="1">
      <x:c r="A14" s="54" t="str">
        <x:v>AT-08</x:v>
      </x:c>
      <x:c r="B14" s="54" t="str">
        <x:v>Engine</x:v>
      </x:c>
      <x:c r="C14" s="54" t="str">
        <x:v>Turn 30 ends with both teams alive</x:v>
      </x:c>
      <x:c r="D14" s="54" t="str">
        <x:v>The cap resolves</x:v>
      </x:c>
      <x:c r="E14" s="54" t="str">
        <x:v>Higher remaining HP percentage wins; then total mana; exact equality is Draw</x:v>
      </x:c>
      <x:c r="F14" s="54" t="str">
        <x:v>MUST</x:v>
      </x:c>
      <x:c r="G14" s="54" t="str">
        <x:v>Unit</x:v>
      </x:c>
      <x:c r="H14" s="54" t="str">
        <x:v>Passed</x:v>
      </x:c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15" hidden="0" customHeight="1">
      <x:c r="A15" s="54" t="str">
        <x:v>AT-09</x:v>
      </x:c>
      <x:c r="B15" s="54" t="str">
        <x:v>Room</x:v>
      </x:c>
      <x:c r="C15" s="54" t="str">
        <x:v>Only player A locks Strike</x:v>
      </x:c>
      <x:c r="D15" s="54" t="str">
        <x:v>Before deadline</x:v>
      </x:c>
      <x:c r="E15" s="54" t="str">
        <x:v>A receives an acknowledgement; B cannot learn A's action</x:v>
      </x:c>
      <x:c r="F15" s="54" t="str">
        <x:v>MUST</x:v>
      </x:c>
      <x:c r="G15" s="54" t="str">
        <x:v>Integration</x:v>
      </x:c>
      <x:c r="H15" s="54" t="str">
        <x:v>Passed</x:v>
      </x:c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15" hidden="0" customHeight="1">
      <x:c r="A16" s="54" t="str">
        <x:v>AT-10</x:v>
      </x:c>
      <x:c r="B16" s="54" t="str">
        <x:v>Room</x:v>
      </x:c>
      <x:c r="C16" s="54" t="str">
        <x:v>Both players lock valid choices</x:v>
      </x:c>
      <x:c r="D16" s="54" t="str">
        <x:v>The second choice arrives</x:v>
      </x:c>
      <x:c r="E16" s="54" t="str">
        <x:v>Server resolves immediately once and broadcasts identical event IDs</x:v>
      </x:c>
      <x:c r="F16" s="54" t="str">
        <x:v>MUST</x:v>
      </x:c>
      <x:c r="G16" s="54" t="str">
        <x:v>Integration</x:v>
      </x:c>
      <x:c r="H16" s="54" t="str">
        <x:v>Passed</x:v>
      </x:c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15" hidden="0" customHeight="1">
      <x:c r="A17" s="54" t="str">
        <x:v>AT-11</x:v>
      </x:c>
      <x:c r="B17" s="54" t="str">
        <x:v>Room</x:v>
      </x:c>
      <x:c r="C17" s="54" t="str">
        <x:v>Player B sends nothing</x:v>
      </x:c>
      <x:c r="D17" s="54" t="str">
        <x:v>The five-second deadline passes</x:v>
      </x:c>
      <x:c r="E17" s="54" t="str">
        <x:v>B uses Recharge and missed-turn count increments</x:v>
      </x:c>
      <x:c r="F17" s="54" t="str">
        <x:v>MUST</x:v>
      </x:c>
      <x:c r="G17" s="54" t="str">
        <x:v>Integration</x:v>
      </x:c>
      <x:c r="H17" s="54" t="str">
        <x:v>Passed</x:v>
      </x:c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15" hidden="0" customHeight="1">
      <x:c r="A18" s="54" t="str">
        <x:v>AT-12</x:v>
      </x:c>
      <x:c r="B18" s="54" t="str">
        <x:v>Room</x:v>
      </x:c>
      <x:c r="C18" s="54" t="str">
        <x:v>A disconnects for one turn</x:v>
      </x:c>
      <x:c r="D18" s="54" t="str">
        <x:v>A reconnects with token</x:v>
      </x:c>
      <x:c r="E18" s="54" t="str">
        <x:v>A receives the current snapshot and the original deadline is unchanged</x:v>
      </x:c>
      <x:c r="F18" s="54" t="str">
        <x:v>MUST</x:v>
      </x:c>
      <x:c r="G18" s="54" t="str">
        <x:v>Integration</x:v>
      </x:c>
      <x:c r="H18" s="54" t="str">
        <x:v>In Progress</x:v>
      </x:c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15" hidden="0" customHeight="1">
      <x:c r="A19" s="54" t="str">
        <x:v>AT-13</x:v>
      </x:c>
      <x:c r="B19" s="54" t="str">
        <x:v>Room</x:v>
      </x:c>
      <x:c r="C19" s="54" t="str">
        <x:v>A misses three consecutive turns</x:v>
      </x:c>
      <x:c r="D19" s="54" t="str">
        <x:v>Third deadline passes</x:v>
      </x:c>
      <x:c r="E19" s="54" t="str">
        <x:v>A forfeits and match finishes exactly once</x:v>
      </x:c>
      <x:c r="F19" s="54" t="str">
        <x:v>MUST</x:v>
      </x:c>
      <x:c r="G19" s="54" t="str">
        <x:v>Integration</x:v>
      </x:c>
      <x:c r="H19" s="54" t="str">
        <x:v>Passed</x:v>
      </x:c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15" hidden="0" customHeight="1">
      <x:c r="A20" s="54" t="str">
        <x:v>AT-14</x:v>
      </x:c>
      <x:c r="B20" s="54" t="str">
        <x:v>Program</x:v>
      </x:c>
      <x:c r="C20" s="54" t="str">
        <x:v>Both stakes and teams are valid</x:v>
      </x:c>
      <x:c r="D20" s="54" t="str">
        <x:v>Opponent joins</x:v>
      </x:c>
      <x:c r="E20" s="54" t="str">
        <x:v>Match becomes Active; no winner or payout exists yet</x:v>
      </x:c>
      <x:c r="F20" s="54" t="str">
        <x:v>MUST</x:v>
      </x:c>
      <x:c r="G20" s="54" t="str">
        <x:v>LiteSVM</x:v>
      </x:c>
      <x:c r="H20" s="54" t="str">
        <x:v>Passed</x:v>
      </x:c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 ht="15" hidden="0" customHeight="1">
      <x:c r="A21" s="54" t="str">
        <x:v>AT-15</x:v>
      </x:c>
      <x:c r="B21" s="54" t="str">
        <x:v>Program</x:v>
      </x:c>
      <x:c r="C21" s="54" t="str">
        <x:v>An unauthorized signer submits a result</x:v>
      </x:c>
      <x:c r="D21" s="54" t="str">
        <x:v>resolve_match executes</x:v>
      </x:c>
      <x:c r="E21" s="54" t="str">
        <x:v>Transaction fails and escrow stays intact</x:v>
      </x:c>
      <x:c r="F21" s="54" t="str">
        <x:v>MUST</x:v>
      </x:c>
      <x:c r="G21" s="54" t="str">
        <x:v>LiteSVM</x:v>
      </x:c>
      <x:c r="H21" s="54" t="str">
        <x:v>Passed</x:v>
      </x:c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 ht="15" hidden="0" customHeight="1">
      <x:c r="A22" s="54" t="str">
        <x:v>AT-16</x:v>
      </x:c>
      <x:c r="B22" s="54" t="str">
        <x:v>Program</x:v>
      </x:c>
      <x:c r="C22" s="54" t="str">
        <x:v>Authorized resolver submits one canonical result</x:v>
      </x:c>
      <x:c r="D22" s="54" t="str">
        <x:v>resolve_match executes twice</x:v>
      </x:c>
      <x:c r="E22" s="54" t="str">
        <x:v>First succeeds; second fails without changing winner or hash</x:v>
      </x:c>
      <x:c r="F22" s="54" t="str">
        <x:v>MUST</x:v>
      </x:c>
      <x:c r="G22" s="54" t="str">
        <x:v>LiteSVM</x:v>
      </x:c>
      <x:c r="H22" s="54" t="str">
        <x:v>Passed</x:v>
      </x:c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 ht="15" hidden="0" customHeight="1">
      <x:c r="A23" s="54" t="str">
        <x:v>AT-17</x:v>
      </x:c>
      <x:c r="B23" s="54" t="str">
        <x:v>Program</x:v>
      </x:c>
      <x:c r="C23" s="54" t="str">
        <x:v>Winner claims a Resolved match</x:v>
      </x:c>
      <x:c r="D23" s="54" t="str">
        <x:v>claim executes</x:v>
      </x:c>
      <x:c r="E23" s="54" t="str">
        <x:v>Winner receives the pot once and match becomes Claimed</x:v>
      </x:c>
      <x:c r="F23" s="54" t="str">
        <x:v>MUST</x:v>
      </x:c>
      <x:c r="G23" s="54" t="str">
        <x:v>LiteSVM</x:v>
      </x:c>
      <x:c r="H23" s="54" t="str">
        <x:v>Passed</x:v>
      </x:c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 ht="15" hidden="0" customHeight="1">
      <x:c r="A24" s="54" t="str">
        <x:v>AT-18</x:v>
      </x:c>
      <x:c r="B24" s="54" t="str">
        <x:v>Program</x:v>
      </x:c>
      <x:c r="C24" s="54" t="str">
        <x:v>Active match passes expiry without a result</x:v>
      </x:c>
      <x:c r="D24" s="54" t="str">
        <x:v>Either participant requests refund</x:v>
      </x:c>
      <x:c r="E24" s="54" t="str">
        <x:v>Each receives its stake and no later result or claim can succeed</x:v>
      </x:c>
      <x:c r="F24" s="54" t="str">
        <x:v>MUST</x:v>
      </x:c>
      <x:c r="G24" s="54" t="str">
        <x:v>LiteSVM</x:v>
      </x:c>
      <x:c r="H24" s="54" t="str">
        <x:v>Passed</x:v>
      </x:c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 ht="15" hidden="0" customHeight="1">
      <x:c r="A25" s="54" t="str">
        <x:v>AT-19</x:v>
      </x:c>
      <x:c r="B25" s="54" t="str">
        <x:v>UI</x:v>
      </x:c>
      <x:c r="C25" s="54" t="str">
        <x:v>A turn enters Choose state</x:v>
      </x:c>
      <x:c r="D25" s="54" t="str">
        <x:v>Small-phone viewport renders</x:v>
      </x:c>
      <x:c r="E25" s="54" t="str">
        <x:v>Three sticky actions fit above safe area and each target is at least 48px high</x:v>
      </x:c>
      <x:c r="F25" s="54" t="str">
        <x:v>MUST</x:v>
      </x:c>
      <x:c r="G25" s="54" t="str">
        <x:v>Component</x:v>
      </x:c>
      <x:c r="H25" s="54" t="str">
        <x:v>Passed</x:v>
      </x:c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 ht="15" hidden="0" customHeight="1">
      <x:c r="A26" s="54" t="str">
        <x:v>AT-20</x:v>
      </x:c>
      <x:c r="B26" s="54" t="str">
        <x:v>UI</x:v>
      </x:c>
      <x:c r="C26" s="54" t="str">
        <x:v>Player selects Guard</x:v>
      </x:c>
      <x:c r="D26" s="54" t="str">
        <x:v>Choice is accepted</x:v>
      </x:c>
      <x:c r="E26" s="54" t="str">
        <x:v>Guard shows Locked; other buttons disable; opponent action stays hidden</x:v>
      </x:c>
      <x:c r="F26" s="54" t="str">
        <x:v>MUST</x:v>
      </x:c>
      <x:c r="G26" s="54" t="str">
        <x:v>Component</x:v>
      </x:c>
      <x:c r="H26" s="54" t="str">
        <x:v>Passed</x:v>
      </x:c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 ht="15" hidden="0" customHeight="1">
      <x:c r="A27" s="54" t="str">
        <x:v>AT-21</x:v>
      </x:c>
      <x:c r="B27" s="54" t="str">
        <x:v>UI</x:v>
      </x:c>
      <x:c r="C27" s="54" t="str">
        <x:v>Server emits a double KO event</x:v>
      </x:c>
      <x:c r="D27" s="54" t="str">
        <x:v>Animation plays</x:v>
      </x:c>
      <x:c r="E27" s="54" t="str">
        <x:v>Both cards animate together, both bars reach zero, then both bench cards enter</x:v>
      </x:c>
      <x:c r="F27" s="54" t="str">
        <x:v>MUST</x:v>
      </x:c>
      <x:c r="G27" s="54" t="str">
        <x:v>Browser</x:v>
      </x:c>
      <x:c r="H27" s="54" t="str">
        <x:v>In Progress</x:v>
      </x:c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 ht="15" hidden="0" customHeight="1">
      <x:c r="A28" s="54" t="str">
        <x:v>AT-22</x:v>
      </x:c>
      <x:c r="B28" s="54" t="str">
        <x:v>UI</x:v>
      </x:c>
      <x:c r="C28" s="54" t="str">
        <x:v>prefers-reduced-motion is enabled</x:v>
      </x:c>
      <x:c r="D28" s="54" t="str">
        <x:v>Strike resolves</x:v>
      </x:c>
      <x:c r="E28" s="54" t="str">
        <x:v>No collision movement occurs; labels and bars still communicate the result</x:v>
      </x:c>
      <x:c r="F28" s="54" t="str">
        <x:v>MUST</x:v>
      </x:c>
      <x:c r="G28" s="54" t="str">
        <x:v>Browser</x:v>
      </x:c>
      <x:c r="H28" s="54" t="str">
        <x:v>In Progress</x:v>
      </x:c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24" hidden="0" customHeight="1">
      <x:c r="A29" s="54" t="str">
        <x:v>AT-23</x:v>
      </x:c>
      <x:c r="B29" s="54" t="str">
        <x:v>End to end</x:v>
      </x:c>
      <x:c r="C29" s="54" t="str">
        <x:v>Two wallets join one canonical URL</x:v>
      </x:c>
      <x:c r="D29" s="54" t="str">
        <x:v>Ten turns plus one reconnect complete</x:v>
      </x:c>
      <x:c r="E29" s="54" t="str">
        <x:v>Both screens show identical turn IDs, deadlines, HP, mana, result, and settlement transaction</x:v>
      </x:c>
      <x:c r="F29" s="54" t="str">
        <x:v>MUST</x:v>
      </x:c>
      <x:c r="G29" s="54" t="str">
        <x:v>Browser</x:v>
      </x:c>
      <x:c r="H29" s="54" t="str">
        <x:v>Blocked</x:v>
      </x:c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 ht="24" hidden="0" customHeight="1">
      <x:c r="A30" s="54" t="str">
        <x:v>AT-24</x:v>
      </x:c>
      <x:c r="B30" s="54" t="str">
        <x:v>Balance</x:v>
      </x:c>
      <x:c r="C30" s="54" t="str">
        <x:v>Representative roster teams play a deterministic matchup matrix</x:v>
      </x:c>
      <x:c r="D30" s="54" t="str">
        <x:v>Metrics are calculated</x:v>
      </x:c>
      <x:c r="E30" s="54" t="str">
        <x:v>Median 12-24 turns, draw below 10%, action picks below 65%, creature win rate below 65%</x:v>
      </x:c>
      <x:c r="F30" s="54" t="str">
        <x:v>MUST</x:v>
      </x:c>
      <x:c r="G30" s="54" t="str">
        <x:v>Simulation</x:v>
      </x:c>
      <x:c r="H30" s="54" t="str">
        <x:v>Passed</x:v>
      </x:c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</x:row>
  </x:sheetData>
  <x:mergeCells>
    <x:mergeCell ref="A2:H2"/>
    <x:mergeCell ref="A3:H3"/>
  </x:mergeCells>
  <x:conditionalFormatting sqref="H7:H30">
    <x:cfRule type="containsText" dxfId="3" priority="1" operator="containsText" text="Passed"/>
    <x:cfRule type="containsText" dxfId="4" priority="2" operator="containsText" text="Blocked"/>
  </x:conditionalFormatting>
  <x:dataValidations count="2">
    <x:dataValidation type="list" sqref="F7:F30">
      <x:formula1>"MUST,SHOULD,COULD"</x:formula1>
    </x:dataValidation>
    <x:dataValidation type="list" sqref="H7:H30">
      <x:formula1>"To Do,In Progress,Blocked,Passed"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18e43dbd8a840d2"/>
  </x:tableParts>
</x:worksheet>
</file>